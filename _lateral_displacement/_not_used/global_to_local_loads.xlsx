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lticonsultas-my.sharepoint.com/personal/steb_multiconsult_no/Documents/STEB/python_projects/pile_lateral_displacement/"/>
    </mc:Choice>
  </mc:AlternateContent>
  <xr:revisionPtr revIDLastSave="364" documentId="8_{526EA318-8C4A-4873-A9E0-B8C8E00DE4AC}" xr6:coauthVersionLast="47" xr6:coauthVersionMax="47" xr10:uidLastSave="{7E7F3265-9091-4EA9-B04E-37B164F71A19}"/>
  <bookViews>
    <workbookView xWindow="55997" yWindow="-18282" windowWidth="32256" windowHeight="26421" xr2:uid="{516A8560-6384-4830-9652-F87A5DA97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1" l="1"/>
  <c r="AC13" i="1"/>
  <c r="AC12" i="1"/>
  <c r="AB13" i="1"/>
  <c r="AA13" i="1"/>
  <c r="Z13" i="1"/>
  <c r="Y13" i="1"/>
  <c r="X13" i="1"/>
  <c r="W13" i="1"/>
  <c r="V13" i="1"/>
  <c r="U13" i="1"/>
  <c r="T13" i="1"/>
  <c r="U12" i="1"/>
  <c r="V12" i="1"/>
  <c r="W12" i="1"/>
  <c r="X12" i="1"/>
  <c r="Y12" i="1"/>
  <c r="Z12" i="1"/>
  <c r="AA12" i="1"/>
  <c r="AB12" i="1"/>
  <c r="T12" i="1"/>
  <c r="U23" i="1"/>
  <c r="V23" i="1"/>
  <c r="W23" i="1"/>
  <c r="X23" i="1"/>
  <c r="Y23" i="1"/>
  <c r="Z23" i="1"/>
  <c r="AA23" i="1"/>
  <c r="AB23" i="1"/>
  <c r="T23" i="1"/>
  <c r="X14" i="1"/>
  <c r="Y14" i="1"/>
  <c r="Z14" i="1"/>
  <c r="AA14" i="1"/>
  <c r="AB14" i="1"/>
  <c r="X15" i="1"/>
  <c r="Y15" i="1"/>
  <c r="Z15" i="1"/>
  <c r="AA15" i="1"/>
  <c r="AB15" i="1"/>
  <c r="X16" i="1"/>
  <c r="X19" i="1" s="1"/>
  <c r="Y16" i="1"/>
  <c r="Z16" i="1"/>
  <c r="AA16" i="1"/>
  <c r="AB16" i="1"/>
  <c r="X17" i="1"/>
  <c r="Y17" i="1"/>
  <c r="Z17" i="1"/>
  <c r="AA17" i="1"/>
  <c r="AB17" i="1"/>
  <c r="X24" i="1"/>
  <c r="Y24" i="1"/>
  <c r="Z24" i="1"/>
  <c r="AA24" i="1"/>
  <c r="AB24" i="1"/>
  <c r="X25" i="1"/>
  <c r="Y25" i="1"/>
  <c r="Z25" i="1"/>
  <c r="AA25" i="1"/>
  <c r="AB25" i="1"/>
  <c r="AA27" i="1"/>
  <c r="AB27" i="1"/>
  <c r="Z27" i="1" l="1"/>
  <c r="X27" i="1"/>
  <c r="Y27" i="1"/>
  <c r="AB20" i="1"/>
  <c r="AA20" i="1"/>
  <c r="Z20" i="1"/>
  <c r="Y20" i="1"/>
  <c r="X20" i="1"/>
  <c r="X21" i="1" s="1"/>
  <c r="AB19" i="1"/>
  <c r="AB21" i="1" s="1"/>
  <c r="Z19" i="1"/>
  <c r="Z21" i="1" s="1"/>
  <c r="AA19" i="1"/>
  <c r="Y19" i="1"/>
  <c r="T24" i="1"/>
  <c r="U24" i="1"/>
  <c r="V24" i="1"/>
  <c r="W24" i="1"/>
  <c r="W25" i="1"/>
  <c r="W16" i="1"/>
  <c r="V25" i="1"/>
  <c r="U25" i="1"/>
  <c r="T17" i="1"/>
  <c r="T15" i="1"/>
  <c r="U14" i="1"/>
  <c r="Y21" i="1" l="1"/>
  <c r="AA21" i="1"/>
  <c r="U17" i="1"/>
  <c r="W17" i="1"/>
  <c r="W27" i="1"/>
  <c r="V16" i="1"/>
  <c r="V27" i="1"/>
  <c r="U16" i="1"/>
  <c r="U19" i="1" s="1"/>
  <c r="U27" i="1"/>
  <c r="V17" i="1"/>
  <c r="T27" i="1"/>
  <c r="T16" i="1"/>
  <c r="T14" i="1"/>
  <c r="W14" i="1"/>
  <c r="W19" i="1" s="1"/>
  <c r="V14" i="1"/>
  <c r="W15" i="1"/>
  <c r="W20" i="1" s="1"/>
  <c r="V15" i="1"/>
  <c r="U15" i="1"/>
  <c r="T20" i="1"/>
  <c r="V19" i="1" l="1"/>
  <c r="U20" i="1"/>
  <c r="U21" i="1" s="1"/>
  <c r="W21" i="1"/>
  <c r="V20" i="1"/>
  <c r="T19" i="1"/>
  <c r="T21" i="1" s="1"/>
  <c r="V21" i="1"/>
</calcChain>
</file>

<file path=xl/sharedStrings.xml><?xml version="1.0" encoding="utf-8"?>
<sst xmlns="http://schemas.openxmlformats.org/spreadsheetml/2006/main" count="17" uniqueCount="15">
  <si>
    <t>Fx</t>
  </si>
  <si>
    <t>Fy</t>
  </si>
  <si>
    <t>dx</t>
  </si>
  <si>
    <t>dy</t>
  </si>
  <si>
    <t>Fx, Mzz</t>
  </si>
  <si>
    <t>Fy, Mzz</t>
  </si>
  <si>
    <t>Fx,t</t>
  </si>
  <si>
    <t>Fy,t</t>
  </si>
  <si>
    <t>Fr,t</t>
  </si>
  <si>
    <t>Fz</t>
  </si>
  <si>
    <t>Fz, Mxx</t>
  </si>
  <si>
    <t>Fz, Myy</t>
  </si>
  <si>
    <t>Fz,t</t>
  </si>
  <si>
    <t>dx2</t>
  </si>
  <si>
    <t>dy2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</si>
</sst>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22810</xdr:colOff>
      <xdr:row>2</xdr:row>
      <xdr:rowOff>103366</xdr:rowOff>
    </xdr:from>
    <xdr:to>
      <xdr:col>40</xdr:col>
      <xdr:colOff>24880</xdr:colOff>
      <xdr:row>5</xdr:row>
      <xdr:rowOff>30838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58E56-6EF5-7B29-B62D-86E8DE5F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019" y="485029"/>
          <a:ext cx="24174035" cy="499966"/>
        </a:xfrm>
        <a:prstGeom prst="rect">
          <a:avLst/>
        </a:prstGeom>
      </xdr:spPr>
    </xdr:pic>
    <xdr:clientData/>
  </xdr:twoCellAnchor>
  <xdr:twoCellAnchor>
    <xdr:from>
      <xdr:col>6</xdr:col>
      <xdr:colOff>405518</xdr:colOff>
      <xdr:row>6</xdr:row>
      <xdr:rowOff>0</xdr:rowOff>
    </xdr:from>
    <xdr:to>
      <xdr:col>15</xdr:col>
      <xdr:colOff>324782</xdr:colOff>
      <xdr:row>34</xdr:row>
      <xdr:rowOff>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4214BB38-124A-CDDD-7AC1-FE7893DEE02D}"/>
            </a:ext>
          </a:extLst>
        </xdr:cNvPr>
        <xdr:cNvGrpSpPr/>
      </xdr:nvGrpSpPr>
      <xdr:grpSpPr>
        <a:xfrm>
          <a:off x="4222144" y="1122538"/>
          <a:ext cx="5644203" cy="5238506"/>
          <a:chOff x="2894276" y="1151568"/>
          <a:chExt cx="5644203" cy="5373985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9BF693DF-6740-C943-8EF7-1274EDE6A2BF}"/>
              </a:ext>
            </a:extLst>
          </xdr:cNvPr>
          <xdr:cNvSpPr/>
        </xdr:nvSpPr>
        <xdr:spPr>
          <a:xfrm>
            <a:off x="3321199" y="1553773"/>
            <a:ext cx="5217280" cy="4971780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DC7934B9-F800-E9D2-218F-6B906245B929}"/>
              </a:ext>
            </a:extLst>
          </xdr:cNvPr>
          <xdr:cNvCxnSpPr/>
        </xdr:nvCxnSpPr>
        <xdr:spPr>
          <a:xfrm>
            <a:off x="5915496" y="1744270"/>
            <a:ext cx="0" cy="4731465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989EB0DE-63CE-0F2F-8CCE-246984B3568A}"/>
              </a:ext>
            </a:extLst>
          </xdr:cNvPr>
          <xdr:cNvCxnSpPr/>
        </xdr:nvCxnSpPr>
        <xdr:spPr>
          <a:xfrm>
            <a:off x="3559081" y="4104414"/>
            <a:ext cx="4768456" cy="0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9B56C520-53B4-D181-E026-BD72CDAE7E0D}"/>
              </a:ext>
            </a:extLst>
          </xdr:cNvPr>
          <xdr:cNvCxnSpPr/>
        </xdr:nvCxnSpPr>
        <xdr:spPr>
          <a:xfrm>
            <a:off x="3776870" y="1744270"/>
            <a:ext cx="0" cy="4731465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3CF9F198-000C-4582-E30A-C01F1D82F038}"/>
              </a:ext>
            </a:extLst>
          </xdr:cNvPr>
          <xdr:cNvCxnSpPr/>
        </xdr:nvCxnSpPr>
        <xdr:spPr>
          <a:xfrm>
            <a:off x="3559081" y="1971271"/>
            <a:ext cx="4768456" cy="0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BBA7F33E-5EB6-1B06-90CD-D2D5C50CCCA9}"/>
              </a:ext>
            </a:extLst>
          </xdr:cNvPr>
          <xdr:cNvCxnSpPr/>
        </xdr:nvCxnSpPr>
        <xdr:spPr>
          <a:xfrm>
            <a:off x="8086247" y="1744270"/>
            <a:ext cx="0" cy="4731465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559DC93B-02AD-7B6A-8BDC-0F80F1A0FE44}"/>
              </a:ext>
            </a:extLst>
          </xdr:cNvPr>
          <xdr:cNvCxnSpPr/>
        </xdr:nvCxnSpPr>
        <xdr:spPr>
          <a:xfrm>
            <a:off x="3559081" y="6220629"/>
            <a:ext cx="4768456" cy="0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BD059CBC-A1B5-4733-5BA1-E8BA837AA141}"/>
              </a:ext>
            </a:extLst>
          </xdr:cNvPr>
          <xdr:cNvCxnSpPr/>
        </xdr:nvCxnSpPr>
        <xdr:spPr>
          <a:xfrm flipV="1">
            <a:off x="3776870" y="1223129"/>
            <a:ext cx="0" cy="512174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25896A76-6D34-BDFE-C30F-91FE754CDB9C}"/>
              </a:ext>
            </a:extLst>
          </xdr:cNvPr>
          <xdr:cNvCxnSpPr/>
        </xdr:nvCxnSpPr>
        <xdr:spPr>
          <a:xfrm>
            <a:off x="3037399" y="1974941"/>
            <a:ext cx="516834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8AAD5528-39D6-914D-4AD7-D6943D7D831B}"/>
              </a:ext>
            </a:extLst>
          </xdr:cNvPr>
          <xdr:cNvCxnSpPr/>
        </xdr:nvCxnSpPr>
        <xdr:spPr>
          <a:xfrm flipV="1">
            <a:off x="8118282" y="1223129"/>
            <a:ext cx="0" cy="512174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C2633427-472B-A870-E93E-2C7AFFC9F2E8}"/>
              </a:ext>
            </a:extLst>
          </xdr:cNvPr>
          <xdr:cNvCxnSpPr/>
        </xdr:nvCxnSpPr>
        <xdr:spPr>
          <a:xfrm>
            <a:off x="7378811" y="1974941"/>
            <a:ext cx="516834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FDC42B5B-6E2E-6E8D-10F5-7C00A2F136B6}"/>
              </a:ext>
            </a:extLst>
          </xdr:cNvPr>
          <xdr:cNvCxnSpPr/>
        </xdr:nvCxnSpPr>
        <xdr:spPr>
          <a:xfrm flipV="1">
            <a:off x="8087250" y="5445545"/>
            <a:ext cx="0" cy="512175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17006B76-8DB7-C08A-E4CF-32BA3FA77D16}"/>
              </a:ext>
            </a:extLst>
          </xdr:cNvPr>
          <xdr:cNvCxnSpPr/>
        </xdr:nvCxnSpPr>
        <xdr:spPr>
          <a:xfrm>
            <a:off x="7378811" y="6220630"/>
            <a:ext cx="516834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72FD827B-6C6D-170B-BFC4-9FDC2D7900EB}"/>
              </a:ext>
            </a:extLst>
          </xdr:cNvPr>
          <xdr:cNvCxnSpPr/>
        </xdr:nvCxnSpPr>
        <xdr:spPr>
          <a:xfrm flipV="1">
            <a:off x="3777917" y="5449424"/>
            <a:ext cx="0" cy="512175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F77B4555-51A7-7957-1236-AB05D805E86D}"/>
              </a:ext>
            </a:extLst>
          </xdr:cNvPr>
          <xdr:cNvCxnSpPr/>
        </xdr:nvCxnSpPr>
        <xdr:spPr>
          <a:xfrm>
            <a:off x="3069204" y="6224509"/>
            <a:ext cx="516834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145C2BBD-F135-6535-7E83-E9B6FF422A8C}"/>
              </a:ext>
            </a:extLst>
          </xdr:cNvPr>
          <xdr:cNvCxnSpPr/>
        </xdr:nvCxnSpPr>
        <xdr:spPr>
          <a:xfrm>
            <a:off x="5965418" y="3435765"/>
            <a:ext cx="2136961" cy="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5"/>
          </a:lnRef>
          <a:fillRef idx="0">
            <a:schemeClr val="accent5"/>
          </a:fillRef>
          <a:effectRef idx="1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07E79346-69A5-6831-23E2-9739F90165E2}"/>
              </a:ext>
            </a:extLst>
          </xdr:cNvPr>
          <xdr:cNvCxnSpPr/>
        </xdr:nvCxnSpPr>
        <xdr:spPr>
          <a:xfrm>
            <a:off x="5397965" y="1966989"/>
            <a:ext cx="0" cy="212168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5"/>
          </a:lnRef>
          <a:fillRef idx="0">
            <a:schemeClr val="accent5"/>
          </a:fillRef>
          <a:effectRef idx="1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7837E826-B20E-FA92-AA68-621B5747B04C}"/>
              </a:ext>
            </a:extLst>
          </xdr:cNvPr>
          <xdr:cNvSpPr txBox="1"/>
        </xdr:nvSpPr>
        <xdr:spPr>
          <a:xfrm>
            <a:off x="5102216" y="2966385"/>
            <a:ext cx="31559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100">
                <a:solidFill>
                  <a:srgbClr val="7030A0"/>
                </a:solidFill>
              </a:rPr>
              <a:t>dy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8511E862-AAAA-E3E5-519A-5E34F81BF842}"/>
              </a:ext>
            </a:extLst>
          </xdr:cNvPr>
          <xdr:cNvSpPr txBox="1"/>
        </xdr:nvSpPr>
        <xdr:spPr>
          <a:xfrm>
            <a:off x="6782463" y="3198068"/>
            <a:ext cx="3144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100">
                <a:solidFill>
                  <a:srgbClr val="7030A0"/>
                </a:solidFill>
              </a:rPr>
              <a:t>dx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1094E11F-B4F7-6746-AD94-175887665098}"/>
              </a:ext>
            </a:extLst>
          </xdr:cNvPr>
          <xdr:cNvSpPr txBox="1"/>
        </xdr:nvSpPr>
        <xdr:spPr>
          <a:xfrm>
            <a:off x="8150088" y="1183373"/>
            <a:ext cx="38228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F2y</a:t>
            </a: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D00B828-8011-6C2F-5B1C-F4DBFE343908}"/>
              </a:ext>
            </a:extLst>
          </xdr:cNvPr>
          <xdr:cNvSpPr txBox="1"/>
        </xdr:nvSpPr>
        <xdr:spPr>
          <a:xfrm>
            <a:off x="7259542" y="1678549"/>
            <a:ext cx="38228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F2x</a:t>
            </a: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B5D76686-B2B4-992B-B028-43B2F08398A4}"/>
              </a:ext>
            </a:extLst>
          </xdr:cNvPr>
          <xdr:cNvSpPr txBox="1"/>
        </xdr:nvSpPr>
        <xdr:spPr>
          <a:xfrm>
            <a:off x="8130693" y="5389887"/>
            <a:ext cx="38228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F4y</a:t>
            </a: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4F3FBC13-1EF3-1FE9-AA3D-3893E269CDEE}"/>
              </a:ext>
            </a:extLst>
          </xdr:cNvPr>
          <xdr:cNvSpPr txBox="1"/>
        </xdr:nvSpPr>
        <xdr:spPr>
          <a:xfrm>
            <a:off x="7259542" y="5900579"/>
            <a:ext cx="38228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F4x</a:t>
            </a: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C23B35E-EBA4-2486-29E4-CA1D7A358302}"/>
              </a:ext>
            </a:extLst>
          </xdr:cNvPr>
          <xdr:cNvSpPr txBox="1"/>
        </xdr:nvSpPr>
        <xdr:spPr>
          <a:xfrm>
            <a:off x="3784822" y="5389887"/>
            <a:ext cx="38228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F3y</a:t>
            </a: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B960958A-FA8C-891F-077D-419138ECDF50}"/>
              </a:ext>
            </a:extLst>
          </xdr:cNvPr>
          <xdr:cNvSpPr txBox="1"/>
        </xdr:nvSpPr>
        <xdr:spPr>
          <a:xfrm>
            <a:off x="2894276" y="5912216"/>
            <a:ext cx="38228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F3x</a:t>
            </a: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44594529-B27E-CD15-24F2-EAA0A19D5E99}"/>
              </a:ext>
            </a:extLst>
          </xdr:cNvPr>
          <xdr:cNvSpPr txBox="1"/>
        </xdr:nvSpPr>
        <xdr:spPr>
          <a:xfrm>
            <a:off x="3784822" y="1151568"/>
            <a:ext cx="38228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F1y</a:t>
            </a: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2734BC47-DC75-39B7-CE43-55B1BF92EAFA}"/>
              </a:ext>
            </a:extLst>
          </xdr:cNvPr>
          <xdr:cNvSpPr txBox="1"/>
        </xdr:nvSpPr>
        <xdr:spPr>
          <a:xfrm>
            <a:off x="2894276" y="1646744"/>
            <a:ext cx="38228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F1x</a:t>
            </a:r>
          </a:p>
        </xdr:txBody>
      </xdr:sp>
      <xdr:cxnSp macro="">
        <xdr:nvCxnSpPr>
          <xdr:cNvPr id="41" name="Straight Arrow Connector 40">
            <a:extLst>
              <a:ext uri="{FF2B5EF4-FFF2-40B4-BE49-F238E27FC236}">
                <a16:creationId xmlns:a16="http://schemas.microsoft.com/office/drawing/2014/main" id="{CBD807E5-2E58-0C90-616C-07141B8F6958}"/>
              </a:ext>
            </a:extLst>
          </xdr:cNvPr>
          <xdr:cNvCxnSpPr/>
        </xdr:nvCxnSpPr>
        <xdr:spPr>
          <a:xfrm>
            <a:off x="4924077" y="4100406"/>
            <a:ext cx="914400" cy="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31FC1F50-77CA-6FF9-B1F9-246F2663CC2F}"/>
              </a:ext>
            </a:extLst>
          </xdr:cNvPr>
          <xdr:cNvSpPr txBox="1"/>
        </xdr:nvSpPr>
        <xdr:spPr>
          <a:xfrm>
            <a:off x="4993420" y="3734096"/>
            <a:ext cx="350802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400" b="1">
                <a:solidFill>
                  <a:schemeClr val="accent6"/>
                </a:solidFill>
              </a:rPr>
              <a:t>Fx</a:t>
            </a:r>
          </a:p>
        </xdr:txBody>
      </xdr: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E795C810-3155-9C93-F1C1-9514CE56AE34}"/>
              </a:ext>
            </a:extLst>
          </xdr:cNvPr>
          <xdr:cNvCxnSpPr/>
        </xdr:nvCxnSpPr>
        <xdr:spPr>
          <a:xfrm>
            <a:off x="5920916" y="3090588"/>
            <a:ext cx="0" cy="927836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8BB13C61-2290-801B-CABC-0D18ED729AA8}"/>
              </a:ext>
            </a:extLst>
          </xdr:cNvPr>
          <xdr:cNvSpPr txBox="1"/>
        </xdr:nvSpPr>
        <xdr:spPr>
          <a:xfrm>
            <a:off x="5971431" y="3022043"/>
            <a:ext cx="350802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400" b="1">
                <a:solidFill>
                  <a:schemeClr val="accent6"/>
                </a:solidFill>
              </a:rPr>
              <a:t>Fy</a:t>
            </a:r>
          </a:p>
        </xdr:txBody>
      </xdr:sp>
      <xdr:sp macro="" textlink="">
        <xdr:nvSpPr>
          <xdr:cNvPr id="52" name="Arc 51">
            <a:extLst>
              <a:ext uri="{FF2B5EF4-FFF2-40B4-BE49-F238E27FC236}">
                <a16:creationId xmlns:a16="http://schemas.microsoft.com/office/drawing/2014/main" id="{800F3EBC-42F9-B109-75F9-A6148BF54551}"/>
              </a:ext>
            </a:extLst>
          </xdr:cNvPr>
          <xdr:cNvSpPr/>
        </xdr:nvSpPr>
        <xdr:spPr>
          <a:xfrm rot="4500000">
            <a:off x="5517483" y="3695844"/>
            <a:ext cx="823373" cy="818986"/>
          </a:xfrm>
          <a:prstGeom prst="arc">
            <a:avLst>
              <a:gd name="adj1" fmla="val 13889230"/>
              <a:gd name="adj2" fmla="val 9750728"/>
            </a:avLst>
          </a:prstGeom>
          <a:ln w="57150">
            <a:solidFill>
              <a:schemeClr val="accent6"/>
            </a:solidFill>
            <a:headEnd type="triangle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AEAB5893-0770-49ED-308B-AAB796786C72}"/>
              </a:ext>
            </a:extLst>
          </xdr:cNvPr>
          <xdr:cNvSpPr txBox="1"/>
        </xdr:nvSpPr>
        <xdr:spPr>
          <a:xfrm>
            <a:off x="6130457" y="3470608"/>
            <a:ext cx="466410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nb-NO" sz="1400" b="1">
                <a:solidFill>
                  <a:schemeClr val="accent6"/>
                </a:solidFill>
              </a:rPr>
              <a:t>Mzz</a:t>
            </a:r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A403DAAE-F6CD-9282-D77E-AF7B283B1CF4}"/>
              </a:ext>
            </a:extLst>
          </xdr:cNvPr>
          <xdr:cNvSpPr/>
        </xdr:nvSpPr>
        <xdr:spPr>
          <a:xfrm>
            <a:off x="3633135" y="1825215"/>
            <a:ext cx="287470" cy="29211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nb-NO" sz="1100"/>
              <a:t>1</a:t>
            </a:r>
          </a:p>
        </xdr:txBody>
      </xdr: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0669E896-E3FF-4C1A-00D2-14F3C07332A0}"/>
              </a:ext>
            </a:extLst>
          </xdr:cNvPr>
          <xdr:cNvSpPr/>
        </xdr:nvSpPr>
        <xdr:spPr>
          <a:xfrm>
            <a:off x="7945188" y="1825215"/>
            <a:ext cx="287470" cy="29211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nb-NO" sz="1100"/>
              <a:t>2</a:t>
            </a:r>
          </a:p>
        </xdr:txBody>
      </xdr:sp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577FCED5-838C-11CE-4929-DF11A164A2ED}"/>
              </a:ext>
            </a:extLst>
          </xdr:cNvPr>
          <xdr:cNvSpPr/>
        </xdr:nvSpPr>
        <xdr:spPr>
          <a:xfrm>
            <a:off x="3633135" y="6072099"/>
            <a:ext cx="287470" cy="29211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nb-NO" sz="1100"/>
              <a:t>3</a:t>
            </a:r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9BE91711-616A-07EC-A937-CAD715949D5C}"/>
              </a:ext>
            </a:extLst>
          </xdr:cNvPr>
          <xdr:cNvSpPr/>
        </xdr:nvSpPr>
        <xdr:spPr>
          <a:xfrm>
            <a:off x="7945188" y="6072099"/>
            <a:ext cx="287470" cy="29211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nb-NO" sz="1100"/>
              <a:t>4</a:t>
            </a:r>
          </a:p>
        </xdr:txBody>
      </xdr:sp>
      <xdr:sp macro="" textlink="">
        <xdr:nvSpPr>
          <xdr:cNvPr id="42" name="Oval 41">
            <a:extLst>
              <a:ext uri="{FF2B5EF4-FFF2-40B4-BE49-F238E27FC236}">
                <a16:creationId xmlns:a16="http://schemas.microsoft.com/office/drawing/2014/main" id="{E260ABC8-17F6-B4A4-0E1B-D8D2E9DC321D}"/>
              </a:ext>
            </a:extLst>
          </xdr:cNvPr>
          <xdr:cNvSpPr/>
        </xdr:nvSpPr>
        <xdr:spPr>
          <a:xfrm>
            <a:off x="5862966" y="4042125"/>
            <a:ext cx="120239" cy="12023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</xdr:grpSp>
    <xdr:clientData/>
  </xdr:twoCellAnchor>
  <xdr:twoCellAnchor>
    <xdr:from>
      <xdr:col>6</xdr:col>
      <xdr:colOff>405518</xdr:colOff>
      <xdr:row>37</xdr:row>
      <xdr:rowOff>88311</xdr:rowOff>
    </xdr:from>
    <xdr:to>
      <xdr:col>15</xdr:col>
      <xdr:colOff>324782</xdr:colOff>
      <xdr:row>51</xdr:row>
      <xdr:rowOff>100723</xdr:rowOff>
    </xdr:to>
    <xdr:grpSp>
      <xdr:nvGrpSpPr>
        <xdr:cNvPr id="191" name="Group 190">
          <a:extLst>
            <a:ext uri="{FF2B5EF4-FFF2-40B4-BE49-F238E27FC236}">
              <a16:creationId xmlns:a16="http://schemas.microsoft.com/office/drawing/2014/main" id="{33753796-F5C1-A6BE-E1D9-37078EB7E843}"/>
            </a:ext>
          </a:extLst>
        </xdr:cNvPr>
        <xdr:cNvGrpSpPr/>
      </xdr:nvGrpSpPr>
      <xdr:grpSpPr>
        <a:xfrm>
          <a:off x="4222144" y="7010623"/>
          <a:ext cx="5644203" cy="2631665"/>
          <a:chOff x="4222144" y="9868415"/>
          <a:chExt cx="5644203" cy="2684051"/>
        </a:xfrm>
      </xdr:grpSpPr>
      <xdr:sp macro="" textlink="">
        <xdr:nvSpPr>
          <xdr:cNvPr id="141" name="Rectangle 140">
            <a:extLst>
              <a:ext uri="{FF2B5EF4-FFF2-40B4-BE49-F238E27FC236}">
                <a16:creationId xmlns:a16="http://schemas.microsoft.com/office/drawing/2014/main" id="{74DBFB6E-7A6F-39AD-EB90-D05E270BCB2A}"/>
              </a:ext>
            </a:extLst>
          </xdr:cNvPr>
          <xdr:cNvSpPr/>
        </xdr:nvSpPr>
        <xdr:spPr>
          <a:xfrm>
            <a:off x="4649066" y="9868415"/>
            <a:ext cx="5217281" cy="197905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cxnSp macro="">
        <xdr:nvCxnSpPr>
          <xdr:cNvPr id="147" name="Straight Connector 146">
            <a:extLst>
              <a:ext uri="{FF2B5EF4-FFF2-40B4-BE49-F238E27FC236}">
                <a16:creationId xmlns:a16="http://schemas.microsoft.com/office/drawing/2014/main" id="{865262D4-E478-2574-A022-769DDF0BCB14}"/>
              </a:ext>
            </a:extLst>
          </xdr:cNvPr>
          <xdr:cNvCxnSpPr/>
        </xdr:nvCxnSpPr>
        <xdr:spPr>
          <a:xfrm>
            <a:off x="4886948" y="11399289"/>
            <a:ext cx="4768457" cy="0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F26F1451-D3A1-A26D-930A-112D41FC8561}"/>
              </a:ext>
            </a:extLst>
          </xdr:cNvPr>
          <xdr:cNvCxnSpPr/>
        </xdr:nvCxnSpPr>
        <xdr:spPr>
          <a:xfrm>
            <a:off x="5104738" y="9935460"/>
            <a:ext cx="0" cy="1718266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Straight Connector 145">
            <a:extLst>
              <a:ext uri="{FF2B5EF4-FFF2-40B4-BE49-F238E27FC236}">
                <a16:creationId xmlns:a16="http://schemas.microsoft.com/office/drawing/2014/main" id="{421ED491-6D02-ACA7-772E-40FCC58FF42B}"/>
              </a:ext>
            </a:extLst>
          </xdr:cNvPr>
          <xdr:cNvCxnSpPr/>
        </xdr:nvCxnSpPr>
        <xdr:spPr>
          <a:xfrm>
            <a:off x="9414115" y="9953809"/>
            <a:ext cx="0" cy="1699917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8" name="Rectangle 187">
            <a:extLst>
              <a:ext uri="{FF2B5EF4-FFF2-40B4-BE49-F238E27FC236}">
                <a16:creationId xmlns:a16="http://schemas.microsoft.com/office/drawing/2014/main" id="{419225BC-8542-FC30-E39A-4F1A0D6AE5F2}"/>
              </a:ext>
            </a:extLst>
          </xdr:cNvPr>
          <xdr:cNvSpPr/>
        </xdr:nvSpPr>
        <xdr:spPr>
          <a:xfrm>
            <a:off x="4961613" y="10153815"/>
            <a:ext cx="288000" cy="1440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 anchorCtr="0"/>
          <a:lstStyle/>
          <a:p>
            <a:pPr algn="ctr"/>
            <a:r>
              <a:rPr lang="nb-NO" sz="1100"/>
              <a:t>3</a:t>
            </a:r>
          </a:p>
        </xdr:txBody>
      </xdr:sp>
      <xdr:sp macro="" textlink="">
        <xdr:nvSpPr>
          <xdr:cNvPr id="189" name="Rectangle 188">
            <a:extLst>
              <a:ext uri="{FF2B5EF4-FFF2-40B4-BE49-F238E27FC236}">
                <a16:creationId xmlns:a16="http://schemas.microsoft.com/office/drawing/2014/main" id="{8E939677-4F0B-1AFE-40A2-88846C355B87}"/>
              </a:ext>
            </a:extLst>
          </xdr:cNvPr>
          <xdr:cNvSpPr/>
        </xdr:nvSpPr>
        <xdr:spPr>
          <a:xfrm>
            <a:off x="9263268" y="10153815"/>
            <a:ext cx="288000" cy="1440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 anchorCtr="0"/>
          <a:lstStyle/>
          <a:p>
            <a:pPr algn="ctr"/>
            <a:r>
              <a:rPr lang="nb-NO" sz="1100"/>
              <a:t>4</a:t>
            </a:r>
          </a:p>
        </xdr:txBody>
      </xdr:sp>
      <xdr:cxnSp macro="">
        <xdr:nvCxnSpPr>
          <xdr:cNvPr id="142" name="Straight Connector 141">
            <a:extLst>
              <a:ext uri="{FF2B5EF4-FFF2-40B4-BE49-F238E27FC236}">
                <a16:creationId xmlns:a16="http://schemas.microsoft.com/office/drawing/2014/main" id="{56E9C11D-9C24-06E8-64CC-34DD5D2DB9AE}"/>
              </a:ext>
            </a:extLst>
          </xdr:cNvPr>
          <xdr:cNvCxnSpPr/>
        </xdr:nvCxnSpPr>
        <xdr:spPr>
          <a:xfrm>
            <a:off x="7243364" y="9947082"/>
            <a:ext cx="0" cy="1706644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Straight Arrow Connector 151">
            <a:extLst>
              <a:ext uri="{FF2B5EF4-FFF2-40B4-BE49-F238E27FC236}">
                <a16:creationId xmlns:a16="http://schemas.microsoft.com/office/drawing/2014/main" id="{756E47EB-9BEF-20F7-0823-599511B29012}"/>
              </a:ext>
            </a:extLst>
          </xdr:cNvPr>
          <xdr:cNvCxnSpPr/>
        </xdr:nvCxnSpPr>
        <xdr:spPr>
          <a:xfrm flipV="1">
            <a:off x="9415118" y="11741960"/>
            <a:ext cx="0" cy="509591"/>
          </a:xfrm>
          <a:prstGeom prst="straightConnector1">
            <a:avLst/>
          </a:prstGeom>
          <a:ln>
            <a:headEnd type="none"/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3" name="Straight Arrow Connector 152">
            <a:extLst>
              <a:ext uri="{FF2B5EF4-FFF2-40B4-BE49-F238E27FC236}">
                <a16:creationId xmlns:a16="http://schemas.microsoft.com/office/drawing/2014/main" id="{044C1D7A-2482-5BEE-DC22-9D0F5C3AB1C5}"/>
              </a:ext>
            </a:extLst>
          </xdr:cNvPr>
          <xdr:cNvCxnSpPr/>
        </xdr:nvCxnSpPr>
        <xdr:spPr>
          <a:xfrm>
            <a:off x="8706680" y="11399290"/>
            <a:ext cx="516833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4" name="Straight Arrow Connector 153">
            <a:extLst>
              <a:ext uri="{FF2B5EF4-FFF2-40B4-BE49-F238E27FC236}">
                <a16:creationId xmlns:a16="http://schemas.microsoft.com/office/drawing/2014/main" id="{052491BA-A02F-D063-3CE8-2B47C6A2CB7C}"/>
              </a:ext>
            </a:extLst>
          </xdr:cNvPr>
          <xdr:cNvCxnSpPr/>
        </xdr:nvCxnSpPr>
        <xdr:spPr>
          <a:xfrm flipV="1">
            <a:off x="5109970" y="11745792"/>
            <a:ext cx="0" cy="509591"/>
          </a:xfrm>
          <a:prstGeom prst="straightConnector1">
            <a:avLst/>
          </a:prstGeom>
          <a:ln>
            <a:headEnd type="none"/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5" name="Straight Arrow Connector 154">
            <a:extLst>
              <a:ext uri="{FF2B5EF4-FFF2-40B4-BE49-F238E27FC236}">
                <a16:creationId xmlns:a16="http://schemas.microsoft.com/office/drawing/2014/main" id="{43695CB4-A7D9-AC85-92B5-295763ADA318}"/>
              </a:ext>
            </a:extLst>
          </xdr:cNvPr>
          <xdr:cNvCxnSpPr/>
        </xdr:nvCxnSpPr>
        <xdr:spPr>
          <a:xfrm>
            <a:off x="4397072" y="11403121"/>
            <a:ext cx="516833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6" name="Straight Arrow Connector 155">
            <a:extLst>
              <a:ext uri="{FF2B5EF4-FFF2-40B4-BE49-F238E27FC236}">
                <a16:creationId xmlns:a16="http://schemas.microsoft.com/office/drawing/2014/main" id="{002B3120-1C84-9196-C509-CBB7895A3C01}"/>
              </a:ext>
            </a:extLst>
          </xdr:cNvPr>
          <xdr:cNvCxnSpPr/>
        </xdr:nvCxnSpPr>
        <xdr:spPr>
          <a:xfrm>
            <a:off x="7293286" y="10825867"/>
            <a:ext cx="2136961" cy="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5"/>
          </a:lnRef>
          <a:fillRef idx="0">
            <a:schemeClr val="accent5"/>
          </a:fillRef>
          <a:effectRef idx="1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D34EDFC4-E379-A6A5-F3AB-EC827F58C5ED}"/>
              </a:ext>
            </a:extLst>
          </xdr:cNvPr>
          <xdr:cNvSpPr txBox="1"/>
        </xdr:nvSpPr>
        <xdr:spPr>
          <a:xfrm>
            <a:off x="8110331" y="10572724"/>
            <a:ext cx="314446" cy="2637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100">
                <a:solidFill>
                  <a:srgbClr val="7030A0"/>
                </a:solidFill>
              </a:rPr>
              <a:t>dx</a:t>
            </a:r>
          </a:p>
        </xdr:txBody>
      </xdr:sp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5F23B558-EC7A-D25B-C62E-09CDC0E25D99}"/>
              </a:ext>
            </a:extLst>
          </xdr:cNvPr>
          <xdr:cNvSpPr txBox="1"/>
        </xdr:nvSpPr>
        <xdr:spPr>
          <a:xfrm>
            <a:off x="9458561" y="12140206"/>
            <a:ext cx="382284" cy="262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F4z</a:t>
            </a:r>
          </a:p>
        </xdr:txBody>
      </xdr: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E2C10254-5B4F-633D-DAEC-6FFF62A292AB}"/>
              </a:ext>
            </a:extLst>
          </xdr:cNvPr>
          <xdr:cNvSpPr txBox="1"/>
        </xdr:nvSpPr>
        <xdr:spPr>
          <a:xfrm>
            <a:off x="8587411" y="11081925"/>
            <a:ext cx="382283" cy="2625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F4x</a:t>
            </a:r>
          </a:p>
        </xdr:txBody>
      </xdr:sp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A7E7C208-446B-8A8C-37CB-839E142A3455}"/>
              </a:ext>
            </a:extLst>
          </xdr:cNvPr>
          <xdr:cNvSpPr txBox="1"/>
        </xdr:nvSpPr>
        <xdr:spPr>
          <a:xfrm>
            <a:off x="5112690" y="12140206"/>
            <a:ext cx="382284" cy="2625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F3z</a:t>
            </a:r>
          </a:p>
        </xdr:txBody>
      </xdr: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2610D858-63D0-81BE-B272-97189F56465A}"/>
              </a:ext>
            </a:extLst>
          </xdr:cNvPr>
          <xdr:cNvSpPr txBox="1"/>
        </xdr:nvSpPr>
        <xdr:spPr>
          <a:xfrm>
            <a:off x="4222144" y="11093420"/>
            <a:ext cx="382283" cy="2625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F3x</a:t>
            </a:r>
          </a:p>
        </xdr:txBody>
      </xdr:sp>
      <xdr:cxnSp macro="">
        <xdr:nvCxnSpPr>
          <xdr:cNvPr id="168" name="Straight Arrow Connector 167">
            <a:extLst>
              <a:ext uri="{FF2B5EF4-FFF2-40B4-BE49-F238E27FC236}">
                <a16:creationId xmlns:a16="http://schemas.microsoft.com/office/drawing/2014/main" id="{ED09BC09-659A-6DA1-7895-CDAD0AEEAC3C}"/>
              </a:ext>
            </a:extLst>
          </xdr:cNvPr>
          <xdr:cNvCxnSpPr/>
        </xdr:nvCxnSpPr>
        <xdr:spPr>
          <a:xfrm>
            <a:off x="6251945" y="11398599"/>
            <a:ext cx="914400" cy="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169" name="TextBox 168">
            <a:extLst>
              <a:ext uri="{FF2B5EF4-FFF2-40B4-BE49-F238E27FC236}">
                <a16:creationId xmlns:a16="http://schemas.microsoft.com/office/drawing/2014/main" id="{3BB6A7B3-D8F3-AB0E-73DC-6A7775B4F500}"/>
              </a:ext>
            </a:extLst>
          </xdr:cNvPr>
          <xdr:cNvSpPr txBox="1"/>
        </xdr:nvSpPr>
        <xdr:spPr>
          <a:xfrm>
            <a:off x="6321288" y="11439832"/>
            <a:ext cx="350801" cy="3101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400" b="1">
                <a:solidFill>
                  <a:schemeClr val="accent6"/>
                </a:solidFill>
              </a:rPr>
              <a:t>Fx</a:t>
            </a:r>
          </a:p>
        </xdr:txBody>
      </xdr:sp>
      <xdr:cxnSp macro="">
        <xdr:nvCxnSpPr>
          <xdr:cNvPr id="170" name="Straight Arrow Connector 169">
            <a:extLst>
              <a:ext uri="{FF2B5EF4-FFF2-40B4-BE49-F238E27FC236}">
                <a16:creationId xmlns:a16="http://schemas.microsoft.com/office/drawing/2014/main" id="{BA1059B1-8F17-21DE-BA5E-AD064710C3AF}"/>
              </a:ext>
            </a:extLst>
          </xdr:cNvPr>
          <xdr:cNvCxnSpPr/>
        </xdr:nvCxnSpPr>
        <xdr:spPr>
          <a:xfrm>
            <a:off x="7232882" y="11524080"/>
            <a:ext cx="0" cy="922622"/>
          </a:xfrm>
          <a:prstGeom prst="straightConnector1">
            <a:avLst/>
          </a:prstGeom>
          <a:ln w="57150">
            <a:headEnd type="triangle"/>
            <a:tailEnd type="none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3D7D013A-9B56-C7A7-6A0D-EE54FA452C15}"/>
              </a:ext>
            </a:extLst>
          </xdr:cNvPr>
          <xdr:cNvSpPr txBox="1"/>
        </xdr:nvSpPr>
        <xdr:spPr>
          <a:xfrm>
            <a:off x="7299299" y="12243551"/>
            <a:ext cx="350802" cy="30891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400" b="1">
                <a:solidFill>
                  <a:schemeClr val="accent6"/>
                </a:solidFill>
              </a:rPr>
              <a:t>Fz</a:t>
            </a:r>
          </a:p>
        </xdr:txBody>
      </xdr:sp>
      <xdr:sp macro="" textlink="">
        <xdr:nvSpPr>
          <xdr:cNvPr id="172" name="Arc 171">
            <a:extLst>
              <a:ext uri="{FF2B5EF4-FFF2-40B4-BE49-F238E27FC236}">
                <a16:creationId xmlns:a16="http://schemas.microsoft.com/office/drawing/2014/main" id="{5225309C-E8D6-F109-0C4C-3309ECD67336}"/>
              </a:ext>
            </a:extLst>
          </xdr:cNvPr>
          <xdr:cNvSpPr/>
        </xdr:nvSpPr>
        <xdr:spPr>
          <a:xfrm rot="4500000">
            <a:off x="6847931" y="10961558"/>
            <a:ext cx="818212" cy="818987"/>
          </a:xfrm>
          <a:prstGeom prst="arc">
            <a:avLst>
              <a:gd name="adj1" fmla="val 13889230"/>
              <a:gd name="adj2" fmla="val 9750728"/>
            </a:avLst>
          </a:prstGeom>
          <a:ln w="57150">
            <a:solidFill>
              <a:schemeClr val="accent6"/>
            </a:solidFill>
            <a:headEnd type="triangle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173" name="TextBox 172">
            <a:extLst>
              <a:ext uri="{FF2B5EF4-FFF2-40B4-BE49-F238E27FC236}">
                <a16:creationId xmlns:a16="http://schemas.microsoft.com/office/drawing/2014/main" id="{8003681F-B8B5-7B01-62ED-6333B8106609}"/>
              </a:ext>
            </a:extLst>
          </xdr:cNvPr>
          <xdr:cNvSpPr txBox="1"/>
        </xdr:nvSpPr>
        <xdr:spPr>
          <a:xfrm>
            <a:off x="7609400" y="11496389"/>
            <a:ext cx="466410" cy="3101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400" b="1">
                <a:solidFill>
                  <a:schemeClr val="accent6"/>
                </a:solidFill>
              </a:rPr>
              <a:t>Myy</a:t>
            </a:r>
          </a:p>
        </xdr:txBody>
      </xdr:sp>
      <xdr:sp macro="" textlink="">
        <xdr:nvSpPr>
          <xdr:cNvPr id="178" name="Oval 177">
            <a:extLst>
              <a:ext uri="{FF2B5EF4-FFF2-40B4-BE49-F238E27FC236}">
                <a16:creationId xmlns:a16="http://schemas.microsoft.com/office/drawing/2014/main" id="{7662EB5C-1FD4-7CE6-422A-EB41FD95B249}"/>
              </a:ext>
            </a:extLst>
          </xdr:cNvPr>
          <xdr:cNvSpPr/>
        </xdr:nvSpPr>
        <xdr:spPr>
          <a:xfrm>
            <a:off x="7190834" y="11332815"/>
            <a:ext cx="120239" cy="119994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</xdr:grpSp>
    <xdr:clientData/>
  </xdr:twoCellAnchor>
  <xdr:twoCellAnchor>
    <xdr:from>
      <xdr:col>2</xdr:col>
      <xdr:colOff>110481</xdr:colOff>
      <xdr:row>6</xdr:row>
      <xdr:rowOff>4445</xdr:rowOff>
    </xdr:from>
    <xdr:to>
      <xdr:col>6</xdr:col>
      <xdr:colOff>97292</xdr:colOff>
      <xdr:row>34</xdr:row>
      <xdr:rowOff>4447</xdr:rowOff>
    </xdr:to>
    <xdr:grpSp>
      <xdr:nvGrpSpPr>
        <xdr:cNvPr id="187" name="Group 186">
          <a:extLst>
            <a:ext uri="{FF2B5EF4-FFF2-40B4-BE49-F238E27FC236}">
              <a16:creationId xmlns:a16="http://schemas.microsoft.com/office/drawing/2014/main" id="{F2D50F25-F8A7-C669-0A10-BABE451B9977}"/>
            </a:ext>
          </a:extLst>
        </xdr:cNvPr>
        <xdr:cNvGrpSpPr/>
      </xdr:nvGrpSpPr>
      <xdr:grpSpPr>
        <a:xfrm>
          <a:off x="1382689" y="1126983"/>
          <a:ext cx="2531229" cy="5238508"/>
          <a:chOff x="1382690" y="1149433"/>
          <a:chExt cx="2531228" cy="5343278"/>
        </a:xfrm>
      </xdr:grpSpPr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8BEFCB9B-DD23-18DF-A696-BCDC48EC16E7}"/>
              </a:ext>
            </a:extLst>
          </xdr:cNvPr>
          <xdr:cNvSpPr/>
        </xdr:nvSpPr>
        <xdr:spPr>
          <a:xfrm>
            <a:off x="1947502" y="1549619"/>
            <a:ext cx="1966416" cy="4943092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C5FB911A-F493-A9FB-48F2-32576197813C}"/>
              </a:ext>
            </a:extLst>
          </xdr:cNvPr>
          <xdr:cNvCxnSpPr/>
        </xdr:nvCxnSpPr>
        <xdr:spPr>
          <a:xfrm flipH="1">
            <a:off x="2118023" y="6193687"/>
            <a:ext cx="1709332" cy="0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Straight Connector 114">
            <a:extLst>
              <a:ext uri="{FF2B5EF4-FFF2-40B4-BE49-F238E27FC236}">
                <a16:creationId xmlns:a16="http://schemas.microsoft.com/office/drawing/2014/main" id="{3D391E22-87AD-6B23-B9C4-2D79ED1ADF36}"/>
              </a:ext>
            </a:extLst>
          </xdr:cNvPr>
          <xdr:cNvCxnSpPr/>
        </xdr:nvCxnSpPr>
        <xdr:spPr>
          <a:xfrm flipH="1">
            <a:off x="2118023" y="1967719"/>
            <a:ext cx="1709332" cy="0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Straight Connector 110">
            <a:extLst>
              <a:ext uri="{FF2B5EF4-FFF2-40B4-BE49-F238E27FC236}">
                <a16:creationId xmlns:a16="http://schemas.microsoft.com/office/drawing/2014/main" id="{7323BF8B-EA4C-1D0B-8230-3F36CF90320D}"/>
              </a:ext>
            </a:extLst>
          </xdr:cNvPr>
          <xdr:cNvCxnSpPr/>
        </xdr:nvCxnSpPr>
        <xdr:spPr>
          <a:xfrm flipH="1">
            <a:off x="2118023" y="4083471"/>
            <a:ext cx="1709332" cy="0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3588C6E0-C4B2-7CE6-386E-1D48E825EE9B}"/>
              </a:ext>
            </a:extLst>
          </xdr:cNvPr>
          <xdr:cNvCxnSpPr/>
        </xdr:nvCxnSpPr>
        <xdr:spPr>
          <a:xfrm>
            <a:off x="2403173" y="1739006"/>
            <a:ext cx="0" cy="4706330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Arrow Connector 56">
            <a:extLst>
              <a:ext uri="{FF2B5EF4-FFF2-40B4-BE49-F238E27FC236}">
                <a16:creationId xmlns:a16="http://schemas.microsoft.com/office/drawing/2014/main" id="{CC7B6AE2-B2C9-0A0F-8721-185030B7F173}"/>
              </a:ext>
            </a:extLst>
          </xdr:cNvPr>
          <xdr:cNvCxnSpPr/>
        </xdr:nvCxnSpPr>
        <xdr:spPr>
          <a:xfrm flipV="1">
            <a:off x="2403173" y="1221672"/>
            <a:ext cx="0" cy="508282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8" name="Straight Arrow Connector 57">
            <a:extLst>
              <a:ext uri="{FF2B5EF4-FFF2-40B4-BE49-F238E27FC236}">
                <a16:creationId xmlns:a16="http://schemas.microsoft.com/office/drawing/2014/main" id="{F82572C7-3F20-6DED-AA78-86AB7359E82D}"/>
              </a:ext>
            </a:extLst>
          </xdr:cNvPr>
          <xdr:cNvCxnSpPr/>
        </xdr:nvCxnSpPr>
        <xdr:spPr>
          <a:xfrm>
            <a:off x="1663701" y="1968947"/>
            <a:ext cx="516835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3" name="Straight Arrow Connector 62">
            <a:extLst>
              <a:ext uri="{FF2B5EF4-FFF2-40B4-BE49-F238E27FC236}">
                <a16:creationId xmlns:a16="http://schemas.microsoft.com/office/drawing/2014/main" id="{6F95B6A6-5CFA-8961-869A-B345590258D4}"/>
              </a:ext>
            </a:extLst>
          </xdr:cNvPr>
          <xdr:cNvCxnSpPr/>
        </xdr:nvCxnSpPr>
        <xdr:spPr>
          <a:xfrm flipV="1">
            <a:off x="2404220" y="5423878"/>
            <a:ext cx="0" cy="508281"/>
          </a:xfrm>
          <a:prstGeom prst="straightConnector1">
            <a:avLst/>
          </a:prstGeom>
          <a:ln>
            <a:headEnd type="triangle"/>
            <a:tailEnd type="non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64" name="Straight Arrow Connector 63">
            <a:extLst>
              <a:ext uri="{FF2B5EF4-FFF2-40B4-BE49-F238E27FC236}">
                <a16:creationId xmlns:a16="http://schemas.microsoft.com/office/drawing/2014/main" id="{71039C22-4E8F-4963-17F8-B7935E8DDD0B}"/>
              </a:ext>
            </a:extLst>
          </xdr:cNvPr>
          <xdr:cNvCxnSpPr/>
        </xdr:nvCxnSpPr>
        <xdr:spPr>
          <a:xfrm>
            <a:off x="1695506" y="6194646"/>
            <a:ext cx="516835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6D67D3CD-BA9F-DE41-C3EF-F7BF930C3CF8}"/>
              </a:ext>
            </a:extLst>
          </xdr:cNvPr>
          <xdr:cNvSpPr txBox="1"/>
        </xdr:nvSpPr>
        <xdr:spPr>
          <a:xfrm>
            <a:off x="2845650" y="2933067"/>
            <a:ext cx="315599" cy="2641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100">
                <a:solidFill>
                  <a:srgbClr val="7030A0"/>
                </a:solidFill>
              </a:rPr>
              <a:t>dy</a:t>
            </a:r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C5F973EC-FE2A-05E5-3BCD-86CBDB31838E}"/>
              </a:ext>
            </a:extLst>
          </xdr:cNvPr>
          <xdr:cNvSpPr txBox="1"/>
        </xdr:nvSpPr>
        <xdr:spPr>
          <a:xfrm>
            <a:off x="2411125" y="5363776"/>
            <a:ext cx="382285" cy="2641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F3y</a:t>
            </a: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3DF4CCD2-8323-72D7-7200-4D852F9FAEF0}"/>
              </a:ext>
            </a:extLst>
          </xdr:cNvPr>
          <xdr:cNvSpPr txBox="1"/>
        </xdr:nvSpPr>
        <xdr:spPr>
          <a:xfrm>
            <a:off x="1520578" y="5885224"/>
            <a:ext cx="380232" cy="2612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F3z</a:t>
            </a: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EE65F1F-E5C4-EA02-BDF5-420105C218D8}"/>
              </a:ext>
            </a:extLst>
          </xdr:cNvPr>
          <xdr:cNvSpPr txBox="1"/>
        </xdr:nvSpPr>
        <xdr:spPr>
          <a:xfrm>
            <a:off x="2411125" y="1149433"/>
            <a:ext cx="382285" cy="2641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F1y</a:t>
            </a:r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6CCAE900-FFBB-24D7-2F5D-DDFAA14A9CA5}"/>
              </a:ext>
            </a:extLst>
          </xdr:cNvPr>
          <xdr:cNvSpPr txBox="1"/>
        </xdr:nvSpPr>
        <xdr:spPr>
          <a:xfrm>
            <a:off x="1520578" y="1643471"/>
            <a:ext cx="382284" cy="2641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100">
                <a:solidFill>
                  <a:schemeClr val="accent2"/>
                </a:solidFill>
              </a:rPr>
              <a:t>F1z</a:t>
            </a:r>
          </a:p>
        </xdr:txBody>
      </xdr:sp>
      <xdr:cxnSp macro="">
        <xdr:nvCxnSpPr>
          <xdr:cNvPr id="77" name="Straight Arrow Connector 76">
            <a:extLst>
              <a:ext uri="{FF2B5EF4-FFF2-40B4-BE49-F238E27FC236}">
                <a16:creationId xmlns:a16="http://schemas.microsoft.com/office/drawing/2014/main" id="{2B5755F7-2216-88D3-69D0-6809EBC8C2A8}"/>
              </a:ext>
            </a:extLst>
          </xdr:cNvPr>
          <xdr:cNvCxnSpPr/>
        </xdr:nvCxnSpPr>
        <xdr:spPr>
          <a:xfrm>
            <a:off x="1382690" y="4092169"/>
            <a:ext cx="914401" cy="0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2BDFFFA7-DD89-F4F2-FFB2-EFD61A91688D}"/>
              </a:ext>
            </a:extLst>
          </xdr:cNvPr>
          <xdr:cNvSpPr txBox="1"/>
        </xdr:nvSpPr>
        <xdr:spPr>
          <a:xfrm>
            <a:off x="1404324" y="3751747"/>
            <a:ext cx="350802" cy="3086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400" b="1">
                <a:solidFill>
                  <a:schemeClr val="accent6"/>
                </a:solidFill>
              </a:rPr>
              <a:t>Fz</a:t>
            </a:r>
          </a:p>
        </xdr:txBody>
      </xdr:sp>
      <xdr:sp macro="" textlink="">
        <xdr:nvSpPr>
          <xdr:cNvPr id="81" name="Arc 80">
            <a:extLst>
              <a:ext uri="{FF2B5EF4-FFF2-40B4-BE49-F238E27FC236}">
                <a16:creationId xmlns:a16="http://schemas.microsoft.com/office/drawing/2014/main" id="{21238BA7-DF52-F299-EDB8-EAD532227E52}"/>
              </a:ext>
            </a:extLst>
          </xdr:cNvPr>
          <xdr:cNvSpPr/>
        </xdr:nvSpPr>
        <xdr:spPr>
          <a:xfrm rot="9013813">
            <a:off x="1988709" y="3679920"/>
            <a:ext cx="823374" cy="815086"/>
          </a:xfrm>
          <a:prstGeom prst="arc">
            <a:avLst>
              <a:gd name="adj1" fmla="val 13889230"/>
              <a:gd name="adj2" fmla="val 9750728"/>
            </a:avLst>
          </a:prstGeom>
          <a:ln w="57150">
            <a:solidFill>
              <a:schemeClr val="accent6"/>
            </a:solidFill>
            <a:headEnd type="triangle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A0A43BD4-EBA6-17B6-D7B7-383EF59C3E94}"/>
              </a:ext>
            </a:extLst>
          </xdr:cNvPr>
          <xdr:cNvSpPr txBox="1"/>
        </xdr:nvSpPr>
        <xdr:spPr>
          <a:xfrm>
            <a:off x="1932676" y="4464976"/>
            <a:ext cx="476028" cy="3086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400" b="1">
                <a:solidFill>
                  <a:schemeClr val="accent6"/>
                </a:solidFill>
              </a:rPr>
              <a:t>Mxx</a:t>
            </a:r>
          </a:p>
        </xdr:txBody>
      </xdr:sp>
      <xdr:sp macro="" textlink="">
        <xdr:nvSpPr>
          <xdr:cNvPr id="87" name="Oval 86">
            <a:extLst>
              <a:ext uri="{FF2B5EF4-FFF2-40B4-BE49-F238E27FC236}">
                <a16:creationId xmlns:a16="http://schemas.microsoft.com/office/drawing/2014/main" id="{51705A29-A6B5-4000-936B-F9FADDA45E09}"/>
              </a:ext>
            </a:extLst>
          </xdr:cNvPr>
          <xdr:cNvSpPr/>
        </xdr:nvSpPr>
        <xdr:spPr>
          <a:xfrm>
            <a:off x="2339950" y="4023649"/>
            <a:ext cx="120239" cy="12137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b-NO" sz="1100"/>
          </a:p>
        </xdr:txBody>
      </xdr:sp>
      <xdr:sp macro="" textlink="">
        <xdr:nvSpPr>
          <xdr:cNvPr id="179" name="Rectangle 178">
            <a:extLst>
              <a:ext uri="{FF2B5EF4-FFF2-40B4-BE49-F238E27FC236}">
                <a16:creationId xmlns:a16="http://schemas.microsoft.com/office/drawing/2014/main" id="{D4263B25-95E7-9B5A-34DB-99A1D4F0363A}"/>
              </a:ext>
            </a:extLst>
          </xdr:cNvPr>
          <xdr:cNvSpPr/>
        </xdr:nvSpPr>
        <xdr:spPr>
          <a:xfrm>
            <a:off x="2268215" y="1814326"/>
            <a:ext cx="1435419" cy="286941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1</a:t>
            </a:r>
          </a:p>
        </xdr:txBody>
      </xdr:sp>
      <xdr:sp macro="" textlink="">
        <xdr:nvSpPr>
          <xdr:cNvPr id="180" name="Rectangle 179">
            <a:extLst>
              <a:ext uri="{FF2B5EF4-FFF2-40B4-BE49-F238E27FC236}">
                <a16:creationId xmlns:a16="http://schemas.microsoft.com/office/drawing/2014/main" id="{10F21B7C-9461-E208-B7C3-5E369BA7F3E4}"/>
              </a:ext>
            </a:extLst>
          </xdr:cNvPr>
          <xdr:cNvSpPr/>
        </xdr:nvSpPr>
        <xdr:spPr>
          <a:xfrm>
            <a:off x="2268215" y="6058945"/>
            <a:ext cx="1435419" cy="28402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nb-NO" sz="1100"/>
              <a:t>3</a:t>
            </a:r>
          </a:p>
        </xdr:txBody>
      </xdr:sp>
      <xdr:cxnSp macro="">
        <xdr:nvCxnSpPr>
          <xdr:cNvPr id="66" name="Straight Arrow Connector 65">
            <a:extLst>
              <a:ext uri="{FF2B5EF4-FFF2-40B4-BE49-F238E27FC236}">
                <a16:creationId xmlns:a16="http://schemas.microsoft.com/office/drawing/2014/main" id="{906F717C-B41F-2747-870A-E4ABD3FA6772}"/>
              </a:ext>
            </a:extLst>
          </xdr:cNvPr>
          <xdr:cNvCxnSpPr/>
        </xdr:nvCxnSpPr>
        <xdr:spPr>
          <a:xfrm>
            <a:off x="2865649" y="1960920"/>
            <a:ext cx="0" cy="210971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2">
            <a:schemeClr val="accent5"/>
          </a:lnRef>
          <a:fillRef idx="0">
            <a:schemeClr val="accent5"/>
          </a:fillRef>
          <a:effectRef idx="1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90794CE-467A-B11F-1819-20D7FC547313}"/>
              </a:ext>
            </a:extLst>
          </xdr:cNvPr>
          <xdr:cNvSpPr txBox="1"/>
        </xdr:nvSpPr>
        <xdr:spPr>
          <a:xfrm>
            <a:off x="2056331" y="3075886"/>
            <a:ext cx="350802" cy="3086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nb-NO" sz="1400" b="1">
                <a:solidFill>
                  <a:schemeClr val="accent6"/>
                </a:solidFill>
              </a:rPr>
              <a:t>Fy</a:t>
            </a:r>
          </a:p>
        </xdr:txBody>
      </xdr:sp>
      <xdr:cxnSp macro="">
        <xdr:nvCxnSpPr>
          <xdr:cNvPr id="185" name="Straight Arrow Connector 184">
            <a:extLst>
              <a:ext uri="{FF2B5EF4-FFF2-40B4-BE49-F238E27FC236}">
                <a16:creationId xmlns:a16="http://schemas.microsoft.com/office/drawing/2014/main" id="{095B0D6E-23E4-4E33-A752-1FD8CCC3B1AC}"/>
              </a:ext>
            </a:extLst>
          </xdr:cNvPr>
          <xdr:cNvCxnSpPr/>
        </xdr:nvCxnSpPr>
        <xdr:spPr>
          <a:xfrm>
            <a:off x="2393342" y="3069204"/>
            <a:ext cx="0" cy="922534"/>
          </a:xfrm>
          <a:prstGeom prst="straightConnector1">
            <a:avLst/>
          </a:prstGeom>
          <a:ln w="57150">
            <a:tailEnd type="triangle"/>
          </a:ln>
        </xdr:spPr>
        <xdr:style>
          <a:lnRef idx="2">
            <a:schemeClr val="accent6"/>
          </a:lnRef>
          <a:fillRef idx="0">
            <a:schemeClr val="accent6"/>
          </a:fillRef>
          <a:effectRef idx="1">
            <a:schemeClr val="accent6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6B4D-9CB1-47CC-9FEC-8E4A654ED3E5}">
  <dimension ref="R7:AC27"/>
  <sheetViews>
    <sheetView tabSelected="1" zoomScale="85" zoomScaleNormal="85" workbookViewId="0">
      <selection activeCell="T25" sqref="T25"/>
    </sheetView>
  </sheetViews>
  <sheetFormatPr defaultRowHeight="15.05" x14ac:dyDescent="0.3"/>
  <sheetData>
    <row r="7" spans="18:29" x14ac:dyDescent="0.3">
      <c r="R7" s="2" t="s">
        <v>2</v>
      </c>
      <c r="S7">
        <v>7.5</v>
      </c>
    </row>
    <row r="8" spans="18:29" x14ac:dyDescent="0.3">
      <c r="R8" s="2" t="s">
        <v>3</v>
      </c>
      <c r="S8">
        <v>7.335</v>
      </c>
    </row>
    <row r="9" spans="18:29" x14ac:dyDescent="0.3">
      <c r="T9">
        <v>1</v>
      </c>
      <c r="U9">
        <v>2</v>
      </c>
      <c r="V9">
        <v>3</v>
      </c>
      <c r="W9">
        <v>4</v>
      </c>
    </row>
    <row r="10" spans="18:29" x14ac:dyDescent="0.3">
      <c r="R10" t="s">
        <v>2</v>
      </c>
      <c r="T10">
        <v>-1.4</v>
      </c>
      <c r="U10">
        <v>-1.4</v>
      </c>
      <c r="V10">
        <v>-1.4</v>
      </c>
      <c r="W10" s="1">
        <v>1E-10</v>
      </c>
      <c r="X10" s="1">
        <v>1E-10</v>
      </c>
      <c r="Y10" s="1">
        <v>1E-10</v>
      </c>
      <c r="Z10">
        <v>1.4</v>
      </c>
      <c r="AA10">
        <v>1.4</v>
      </c>
      <c r="AB10">
        <v>1.4</v>
      </c>
    </row>
    <row r="11" spans="18:29" x14ac:dyDescent="0.3">
      <c r="R11" t="s">
        <v>3</v>
      </c>
      <c r="T11" s="1">
        <v>1.2</v>
      </c>
      <c r="U11" s="1">
        <v>1E-10</v>
      </c>
      <c r="V11" s="1">
        <v>-1.2</v>
      </c>
      <c r="W11" s="1">
        <v>1.2</v>
      </c>
      <c r="X11" s="1">
        <v>1E-10</v>
      </c>
      <c r="Y11" s="1">
        <v>-1.2</v>
      </c>
      <c r="Z11" s="1">
        <v>1.2</v>
      </c>
      <c r="AA11" s="1">
        <v>1E-10</v>
      </c>
      <c r="AB11" s="1">
        <v>-1.2</v>
      </c>
    </row>
    <row r="12" spans="18:29" x14ac:dyDescent="0.3">
      <c r="R12" t="s">
        <v>13</v>
      </c>
      <c r="T12">
        <f>T10*T10</f>
        <v>1.9599999999999997</v>
      </c>
      <c r="U12">
        <f t="shared" ref="U12:AB13" si="0">U10*U10</f>
        <v>1.9599999999999997</v>
      </c>
      <c r="V12">
        <f t="shared" si="0"/>
        <v>1.9599999999999997</v>
      </c>
      <c r="W12">
        <f t="shared" si="0"/>
        <v>1.0000000000000001E-20</v>
      </c>
      <c r="X12">
        <f t="shared" si="0"/>
        <v>1.0000000000000001E-20</v>
      </c>
      <c r="Y12">
        <f t="shared" si="0"/>
        <v>1.0000000000000001E-20</v>
      </c>
      <c r="Z12">
        <f t="shared" si="0"/>
        <v>1.9599999999999997</v>
      </c>
      <c r="AA12">
        <f t="shared" si="0"/>
        <v>1.9599999999999997</v>
      </c>
      <c r="AB12">
        <f t="shared" si="0"/>
        <v>1.9599999999999997</v>
      </c>
      <c r="AC12">
        <f>SUM(T12:AB12)</f>
        <v>11.759999999999998</v>
      </c>
    </row>
    <row r="13" spans="18:29" x14ac:dyDescent="0.3">
      <c r="R13" t="s">
        <v>14</v>
      </c>
      <c r="T13">
        <f>T11*T11</f>
        <v>1.44</v>
      </c>
      <c r="U13">
        <f t="shared" si="0"/>
        <v>1.0000000000000001E-20</v>
      </c>
      <c r="V13">
        <f t="shared" si="0"/>
        <v>1.44</v>
      </c>
      <c r="W13">
        <f t="shared" si="0"/>
        <v>1.44</v>
      </c>
      <c r="X13">
        <f t="shared" si="0"/>
        <v>1.0000000000000001E-20</v>
      </c>
      <c r="Y13">
        <f t="shared" si="0"/>
        <v>1.44</v>
      </c>
      <c r="Z13">
        <f t="shared" si="0"/>
        <v>1.44</v>
      </c>
      <c r="AA13">
        <f t="shared" si="0"/>
        <v>1.0000000000000001E-20</v>
      </c>
      <c r="AB13">
        <f t="shared" si="0"/>
        <v>1.44</v>
      </c>
      <c r="AC13">
        <f>SUM(T13:AB13)</f>
        <v>8.6399999999999988</v>
      </c>
    </row>
    <row r="14" spans="18:29" x14ac:dyDescent="0.3">
      <c r="R14" t="s">
        <v>0</v>
      </c>
      <c r="S14" s="3">
        <v>0</v>
      </c>
      <c r="T14" s="5">
        <f>$S14/4</f>
        <v>0</v>
      </c>
      <c r="U14" s="5">
        <f>$S14/4</f>
        <v>0</v>
      </c>
      <c r="V14" s="5">
        <f>$S14/4</f>
        <v>0</v>
      </c>
      <c r="W14" s="5">
        <f>$S14/4</f>
        <v>0</v>
      </c>
      <c r="X14" s="5">
        <f>$S14/4</f>
        <v>0</v>
      </c>
      <c r="Y14" s="5">
        <f>$S14/4</f>
        <v>0</v>
      </c>
      <c r="Z14" s="5">
        <f>$S14/4</f>
        <v>0</v>
      </c>
      <c r="AA14" s="5">
        <f>$S14/4</f>
        <v>0</v>
      </c>
      <c r="AB14" s="5">
        <f>$S14/4</f>
        <v>0</v>
      </c>
    </row>
    <row r="15" spans="18:29" x14ac:dyDescent="0.3">
      <c r="R15" t="s">
        <v>1</v>
      </c>
      <c r="S15" s="3">
        <v>0</v>
      </c>
      <c r="T15" s="5">
        <f>$S15/4</f>
        <v>0</v>
      </c>
      <c r="U15" s="5">
        <f>$S15/4</f>
        <v>0</v>
      </c>
      <c r="V15" s="5">
        <f>$S15/4</f>
        <v>0</v>
      </c>
      <c r="W15" s="5">
        <f>$S15/4</f>
        <v>0</v>
      </c>
      <c r="X15" s="5">
        <f>$S15/4</f>
        <v>0</v>
      </c>
      <c r="Y15" s="5">
        <f>$S15/4</f>
        <v>0</v>
      </c>
      <c r="Z15" s="5">
        <f>$S15/4</f>
        <v>0</v>
      </c>
      <c r="AA15" s="5">
        <f>$S15/4</f>
        <v>0</v>
      </c>
      <c r="AB15" s="5">
        <f>$S15/4</f>
        <v>0</v>
      </c>
    </row>
    <row r="16" spans="18:29" x14ac:dyDescent="0.3">
      <c r="R16" t="s">
        <v>4</v>
      </c>
      <c r="S16" s="2">
        <v>0</v>
      </c>
      <c r="T16" s="5">
        <f>-$S16/2/2/(2*T11)</f>
        <v>0</v>
      </c>
      <c r="U16" s="5">
        <f>-$S16/2/2/(2*U11)</f>
        <v>0</v>
      </c>
      <c r="V16" s="5">
        <f>-$S16/2/2/(2*V11)</f>
        <v>0</v>
      </c>
      <c r="W16" s="5">
        <f>-$S16/2/2/(2*W11)</f>
        <v>0</v>
      </c>
      <c r="X16" s="5">
        <f>-$S16/2/2/(2*X11)</f>
        <v>0</v>
      </c>
      <c r="Y16" s="5">
        <f>-$S16/2/2/(2*Y11)</f>
        <v>0</v>
      </c>
      <c r="Z16" s="5">
        <f>-$S16/2/2/(2*Z11)</f>
        <v>0</v>
      </c>
      <c r="AA16" s="5">
        <f>-$S16/2/2/(2*AA11)</f>
        <v>0</v>
      </c>
      <c r="AB16" s="5">
        <f>-$S16/2/2/(2*AB11)</f>
        <v>0</v>
      </c>
    </row>
    <row r="17" spans="18:28" x14ac:dyDescent="0.3">
      <c r="R17" t="s">
        <v>5</v>
      </c>
      <c r="S17" s="2">
        <v>0</v>
      </c>
      <c r="T17" s="5">
        <f>$S17/2/2/(2*T10)</f>
        <v>0</v>
      </c>
      <c r="U17" s="5">
        <f>$S17/2/2/(2*U10)</f>
        <v>0</v>
      </c>
      <c r="V17" s="5">
        <f>$S17/2/2/(2*V10)</f>
        <v>0</v>
      </c>
      <c r="W17" s="5">
        <f>$S17/2/2/(2*W10)</f>
        <v>0</v>
      </c>
      <c r="X17" s="5">
        <f>$S17/2/2/(2*X10)</f>
        <v>0</v>
      </c>
      <c r="Y17" s="5">
        <f>$S17/2/2/(2*Y10)</f>
        <v>0</v>
      </c>
      <c r="Z17" s="5">
        <f>$S17/2/2/(2*Z10)</f>
        <v>0</v>
      </c>
      <c r="AA17" s="5">
        <f>$S17/2/2/(2*AA10)</f>
        <v>0</v>
      </c>
      <c r="AB17" s="5">
        <f>$S17/2/2/(2*AB10)</f>
        <v>0</v>
      </c>
    </row>
    <row r="18" spans="18:28" x14ac:dyDescent="0.3">
      <c r="T18" s="5"/>
      <c r="U18" s="5"/>
      <c r="V18" s="5"/>
      <c r="W18" s="5"/>
      <c r="X18" s="5"/>
      <c r="Y18" s="5"/>
      <c r="Z18" s="5"/>
      <c r="AA18" s="5"/>
      <c r="AB18" s="5"/>
    </row>
    <row r="19" spans="18:28" x14ac:dyDescent="0.3">
      <c r="R19" t="s">
        <v>6</v>
      </c>
      <c r="T19" s="5">
        <f t="shared" ref="T19:W20" si="1">T14+T16</f>
        <v>0</v>
      </c>
      <c r="U19" s="5">
        <f t="shared" si="1"/>
        <v>0</v>
      </c>
      <c r="V19" s="5">
        <f t="shared" si="1"/>
        <v>0</v>
      </c>
      <c r="W19" s="5">
        <f t="shared" si="1"/>
        <v>0</v>
      </c>
      <c r="X19" s="5">
        <f t="shared" ref="X19:AB19" si="2">X14+X16</f>
        <v>0</v>
      </c>
      <c r="Y19" s="5">
        <f t="shared" si="2"/>
        <v>0</v>
      </c>
      <c r="Z19" s="5">
        <f t="shared" si="2"/>
        <v>0</v>
      </c>
      <c r="AA19" s="5">
        <f t="shared" si="2"/>
        <v>0</v>
      </c>
      <c r="AB19" s="5">
        <f t="shared" si="2"/>
        <v>0</v>
      </c>
    </row>
    <row r="20" spans="18:28" x14ac:dyDescent="0.3">
      <c r="R20" t="s">
        <v>7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ref="X20:AB20" si="3">X15+X17</f>
        <v>0</v>
      </c>
      <c r="Y20" s="5">
        <f t="shared" si="3"/>
        <v>0</v>
      </c>
      <c r="Z20" s="5">
        <f t="shared" si="3"/>
        <v>0</v>
      </c>
      <c r="AA20" s="5">
        <f t="shared" si="3"/>
        <v>0</v>
      </c>
      <c r="AB20" s="5">
        <f t="shared" si="3"/>
        <v>0</v>
      </c>
    </row>
    <row r="21" spans="18:28" x14ac:dyDescent="0.3">
      <c r="R21" s="4" t="s">
        <v>8</v>
      </c>
      <c r="S21" s="4"/>
      <c r="T21" s="6">
        <f>SQRT(POWER(T19, 2)+POWER(T20, 2))</f>
        <v>0</v>
      </c>
      <c r="U21" s="6">
        <f t="shared" ref="U21:W21" si="4">SQRT(POWER(U19, 2)+POWER(U20, 2))</f>
        <v>0</v>
      </c>
      <c r="V21" s="6">
        <f t="shared" si="4"/>
        <v>0</v>
      </c>
      <c r="W21" s="6">
        <f t="shared" si="4"/>
        <v>0</v>
      </c>
      <c r="X21" s="6">
        <f t="shared" ref="X21:AB21" si="5">SQRT(POWER(X19, 2)+POWER(X20, 2))</f>
        <v>0</v>
      </c>
      <c r="Y21" s="6">
        <f t="shared" si="5"/>
        <v>0</v>
      </c>
      <c r="Z21" s="6">
        <f t="shared" si="5"/>
        <v>0</v>
      </c>
      <c r="AA21" s="6">
        <f t="shared" si="5"/>
        <v>0</v>
      </c>
      <c r="AB21" s="6">
        <f t="shared" si="5"/>
        <v>0</v>
      </c>
    </row>
    <row r="23" spans="18:28" x14ac:dyDescent="0.3">
      <c r="R23" t="s">
        <v>9</v>
      </c>
      <c r="S23" s="2">
        <v>-7200</v>
      </c>
      <c r="T23" s="5">
        <f>$S23/9</f>
        <v>-800</v>
      </c>
      <c r="U23" s="5">
        <f>$S23/9</f>
        <v>-800</v>
      </c>
      <c r="V23" s="5">
        <f>$S23/9</f>
        <v>-800</v>
      </c>
      <c r="W23" s="5">
        <f>$S23/9</f>
        <v>-800</v>
      </c>
      <c r="X23" s="5">
        <f>$S23/9</f>
        <v>-800</v>
      </c>
      <c r="Y23" s="5">
        <f>$S23/9</f>
        <v>-800</v>
      </c>
      <c r="Z23" s="5">
        <f>$S23/9</f>
        <v>-800</v>
      </c>
      <c r="AA23" s="5">
        <f>$S23/9</f>
        <v>-800</v>
      </c>
      <c r="AB23" s="5">
        <f>$S23/9</f>
        <v>-800</v>
      </c>
    </row>
    <row r="24" spans="18:28" x14ac:dyDescent="0.3">
      <c r="R24" t="s">
        <v>10</v>
      </c>
      <c r="S24" s="2">
        <v>0</v>
      </c>
      <c r="T24" s="5">
        <f>$S24/2/T11/2</f>
        <v>0</v>
      </c>
      <c r="U24" s="5">
        <f>$S24/2/U11/2</f>
        <v>0</v>
      </c>
      <c r="V24" s="5">
        <f>$S24/2/V11/2</f>
        <v>0</v>
      </c>
      <c r="W24" s="5">
        <f>$S24/2/W11/2</f>
        <v>0</v>
      </c>
      <c r="X24" s="5">
        <f>$S24/2/X11/2</f>
        <v>0</v>
      </c>
      <c r="Y24" s="5">
        <f>$S24/2/Y11/2</f>
        <v>0</v>
      </c>
      <c r="Z24" s="5">
        <f>$S24/2/Z11/2</f>
        <v>0</v>
      </c>
      <c r="AA24" s="5">
        <f>$S24/2/AA11/2</f>
        <v>0</v>
      </c>
      <c r="AB24" s="5">
        <f>$S24/2/AB11/2</f>
        <v>0</v>
      </c>
    </row>
    <row r="25" spans="18:28" x14ac:dyDescent="0.3">
      <c r="R25" t="s">
        <v>11</v>
      </c>
      <c r="S25" s="2">
        <v>-500</v>
      </c>
      <c r="T25" s="5">
        <f>-$S25/2/T10/2</f>
        <v>-89.285714285714292</v>
      </c>
      <c r="U25" s="5">
        <f>-$S25/2/U10/2</f>
        <v>-89.285714285714292</v>
      </c>
      <c r="V25" s="5">
        <f>-$S25/2/V10/2</f>
        <v>-89.285714285714292</v>
      </c>
      <c r="W25" s="5">
        <f>-$S25/2/W10/2</f>
        <v>1250000000000</v>
      </c>
      <c r="X25" s="5">
        <f>-$S25/2/X10/2</f>
        <v>1250000000000</v>
      </c>
      <c r="Y25" s="5">
        <f>-$S25/2/Y10/2</f>
        <v>1250000000000</v>
      </c>
      <c r="Z25" s="5">
        <f>-$S25/2/Z10/2</f>
        <v>89.285714285714292</v>
      </c>
      <c r="AA25" s="5">
        <f>-$S25/2/AA10/2</f>
        <v>89.285714285714292</v>
      </c>
      <c r="AB25" s="5">
        <f>-$S25/2/AB10/2</f>
        <v>89.285714285714292</v>
      </c>
    </row>
    <row r="26" spans="18:28" x14ac:dyDescent="0.3">
      <c r="T26" s="5"/>
      <c r="U26" s="5"/>
      <c r="V26" s="5"/>
      <c r="W26" s="5"/>
      <c r="X26" s="5"/>
      <c r="Y26" s="5"/>
      <c r="Z26" s="5"/>
      <c r="AA26" s="5"/>
      <c r="AB26" s="5"/>
    </row>
    <row r="27" spans="18:28" x14ac:dyDescent="0.3">
      <c r="R27" t="s">
        <v>12</v>
      </c>
      <c r="T27" s="5">
        <f>SUM(T23:T25)</f>
        <v>-889.28571428571433</v>
      </c>
      <c r="U27" s="5">
        <f>SUM(U23:U25)</f>
        <v>-889.28571428571433</v>
      </c>
      <c r="V27" s="5">
        <f>SUM(V23:V25)</f>
        <v>-889.28571428571433</v>
      </c>
      <c r="W27" s="5">
        <f>SUM(W23:W25)</f>
        <v>1249999999200</v>
      </c>
      <c r="X27" s="5">
        <f t="shared" ref="X27:AB27" si="6">SUM(X23:X25)</f>
        <v>1249999999200</v>
      </c>
      <c r="Y27" s="5">
        <f t="shared" si="6"/>
        <v>1249999999200</v>
      </c>
      <c r="Z27" s="5">
        <f t="shared" si="6"/>
        <v>-710.71428571428567</v>
      </c>
      <c r="AA27" s="5">
        <f t="shared" si="6"/>
        <v>-710.71428571428567</v>
      </c>
      <c r="AB27" s="5">
        <f t="shared" si="6"/>
        <v>-710.71428571428567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Bayton, Steven</dc:creator>
  <cp:lastModifiedBy>Bayton, Steven</cp:lastModifiedBy>
  <dcterms:created xsi:type="dcterms:W3CDTF">2025-10-13T10:36:04Z</dcterms:created>
  <dcterms:modified xsi:type="dcterms:W3CDTF">2025-10-15T11:04:42Z</dcterms:modified>
</cp:coreProperties>
</file>