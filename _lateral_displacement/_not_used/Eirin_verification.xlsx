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446" documentId="8_{7B93AB4E-B5CA-4E56-ABB7-B0E6261249C1}" xr6:coauthVersionLast="47" xr6:coauthVersionMax="47" xr10:uidLastSave="{6EEC4698-8049-49E5-9CA3-8D0570F2181F}"/>
  <bookViews>
    <workbookView xWindow="53505" yWindow="-10593" windowWidth="29564" windowHeight="14074" xr2:uid="{00000000-000D-0000-FFFF-FFFF00000000}"/>
  </bookViews>
  <sheets>
    <sheet name="LC06_ALS" sheetId="3" r:id="rId1"/>
    <sheet name="Sheet1" sheetId="5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3" l="1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98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66" i="3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D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D158" i="3"/>
  <c r="AB159" i="3"/>
  <c r="AB160" i="3"/>
  <c r="AB161" i="3"/>
  <c r="AB162" i="3"/>
  <c r="AB163" i="3"/>
  <c r="AB164" i="3"/>
  <c r="AB165" i="3"/>
  <c r="AB166" i="3"/>
  <c r="AB167" i="3"/>
  <c r="AB168" i="3"/>
  <c r="AD168" i="3"/>
  <c r="AB169" i="3"/>
  <c r="AB170" i="3"/>
  <c r="AB171" i="3"/>
  <c r="AB172" i="3"/>
  <c r="AB173" i="3"/>
  <c r="AB174" i="3"/>
  <c r="AB175" i="3"/>
  <c r="AB176" i="3"/>
  <c r="AB177" i="3"/>
  <c r="AB178" i="3"/>
  <c r="AH54" i="3"/>
  <c r="AH53" i="3"/>
  <c r="AH52" i="3"/>
  <c r="AH51" i="3"/>
  <c r="AH50" i="3"/>
  <c r="AH49" i="3"/>
  <c r="AH48" i="3"/>
  <c r="AH47" i="3"/>
  <c r="AH46" i="3"/>
  <c r="AH45" i="3"/>
  <c r="AM45" i="3" s="1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66" i="3"/>
  <c r="AD137" i="3" l="1"/>
  <c r="AD129" i="3"/>
  <c r="AD115" i="3"/>
  <c r="AD156" i="3"/>
  <c r="AD128" i="3"/>
  <c r="AD114" i="3"/>
  <c r="AD167" i="3"/>
  <c r="AD139" i="3"/>
  <c r="AD166" i="3"/>
  <c r="AD138" i="3"/>
  <c r="AD163" i="3"/>
  <c r="AD162" i="3"/>
  <c r="AD113" i="3"/>
  <c r="AD134" i="3"/>
  <c r="AD155" i="3"/>
  <c r="AD127" i="3"/>
  <c r="AD136" i="3"/>
  <c r="AD161" i="3"/>
  <c r="AD133" i="3"/>
  <c r="AD132" i="3"/>
  <c r="AD159" i="3"/>
  <c r="AD143" i="3"/>
  <c r="AD131" i="3"/>
  <c r="AD130" i="3"/>
  <c r="AD160" i="3"/>
  <c r="AD157" i="3"/>
  <c r="AD165" i="3"/>
  <c r="AD164" i="3"/>
  <c r="AD177" i="3"/>
  <c r="AD149" i="3"/>
  <c r="AD135" i="3"/>
  <c r="AD121" i="3"/>
  <c r="AD153" i="3"/>
  <c r="AD125" i="3"/>
  <c r="AD152" i="3"/>
  <c r="AD124" i="3"/>
  <c r="AD141" i="3"/>
  <c r="AD151" i="3"/>
  <c r="AD123" i="3"/>
  <c r="AD176" i="3"/>
  <c r="AD148" i="3"/>
  <c r="AD120" i="3"/>
  <c r="AD126" i="3"/>
  <c r="AD175" i="3"/>
  <c r="AD146" i="3"/>
  <c r="AD154" i="3"/>
  <c r="AD147" i="3"/>
  <c r="AD119" i="3"/>
  <c r="AD174" i="3"/>
  <c r="AD118" i="3"/>
  <c r="AD173" i="3"/>
  <c r="AD145" i="3"/>
  <c r="AD117" i="3"/>
  <c r="AD172" i="3"/>
  <c r="AD144" i="3"/>
  <c r="AD116" i="3"/>
  <c r="AD171" i="3"/>
  <c r="AD169" i="3"/>
  <c r="AD142" i="3"/>
  <c r="AD170" i="3"/>
  <c r="AD178" i="3"/>
  <c r="AD150" i="3"/>
  <c r="AD122" i="3"/>
  <c r="AN45" i="3"/>
  <c r="AM46" i="3"/>
  <c r="AM47" i="3" l="1"/>
  <c r="AN46" i="3"/>
  <c r="AM48" i="3" l="1"/>
  <c r="AN47" i="3"/>
  <c r="AN48" i="3" l="1"/>
  <c r="AM49" i="3"/>
  <c r="AM50" i="3" l="1"/>
  <c r="AN49" i="3"/>
  <c r="AM51" i="3" l="1"/>
  <c r="AN50" i="3"/>
  <c r="AM52" i="3" l="1"/>
  <c r="AN51" i="3"/>
  <c r="AM53" i="3" l="1"/>
  <c r="AN52" i="3"/>
  <c r="AN53" i="3" l="1"/>
  <c r="AM54" i="3"/>
  <c r="AN54" i="3" s="1"/>
  <c r="F45" i="4" l="1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26" i="4"/>
  <c r="AD94" i="3" l="1"/>
  <c r="AD95" i="3"/>
  <c r="AD111" i="3"/>
  <c r="AD112" i="3"/>
  <c r="AD67" i="3"/>
  <c r="T6" i="3"/>
  <c r="T5" i="3" a="1"/>
  <c r="T5" i="3" s="1"/>
  <c r="U4" i="3"/>
  <c r="T4" i="3" a="1"/>
  <c r="T4" i="3" s="1"/>
  <c r="T3" i="3" a="1"/>
  <c r="T3" i="3" s="1"/>
  <c r="AD109" i="3" l="1"/>
  <c r="AD91" i="3"/>
  <c r="AD75" i="3"/>
  <c r="AD97" i="3"/>
  <c r="AD89" i="3"/>
  <c r="AD92" i="3"/>
  <c r="AD88" i="3"/>
  <c r="AD86" i="3"/>
  <c r="AD85" i="3"/>
  <c r="AD84" i="3"/>
  <c r="AD83" i="3"/>
  <c r="AD82" i="3"/>
  <c r="AD80" i="3"/>
  <c r="AD107" i="3"/>
  <c r="AD106" i="3"/>
  <c r="AD104" i="3"/>
  <c r="AD93" i="3"/>
  <c r="AD90" i="3"/>
  <c r="AD87" i="3"/>
  <c r="AD110" i="3"/>
  <c r="AD81" i="3"/>
  <c r="AD108" i="3"/>
  <c r="AD79" i="3"/>
  <c r="AD78" i="3"/>
  <c r="AD105" i="3"/>
  <c r="AD77" i="3"/>
  <c r="AD76" i="3"/>
  <c r="AD103" i="3"/>
  <c r="AD102" i="3"/>
  <c r="AD74" i="3"/>
  <c r="AD101" i="3"/>
  <c r="AD73" i="3"/>
  <c r="AD100" i="3"/>
  <c r="AD72" i="3"/>
  <c r="AD99" i="3"/>
  <c r="AD71" i="3"/>
  <c r="AD98" i="3"/>
  <c r="AD70" i="3"/>
  <c r="AD69" i="3"/>
  <c r="AD96" i="3"/>
  <c r="AD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<sst xmlns="http://schemas.openxmlformats.org/spreadsheetml/2006/main" count="524" uniqueCount="86">
  <si>
    <t>Pile</t>
  </si>
  <si>
    <t xml:space="preserve">Load step (no) </t>
  </si>
  <si>
    <t>Pile (no)</t>
  </si>
  <si>
    <t>Z-level</t>
  </si>
  <si>
    <t>Moment, XX</t>
  </si>
  <si>
    <t>Moment, YY</t>
  </si>
  <si>
    <t>Moment, lateral</t>
  </si>
  <si>
    <t>Max stress</t>
  </si>
  <si>
    <t xml:space="preserve">Force, X  </t>
  </si>
  <si>
    <t xml:space="preserve">Force, Y  </t>
  </si>
  <si>
    <t>Force, lateral</t>
  </si>
  <si>
    <t>Force, axial</t>
  </si>
  <si>
    <t>Row Data,Row,Utilization Ratio</t>
  </si>
  <si>
    <t xml:space="preserve">               </t>
  </si>
  <si>
    <t xml:space="preserve">         </t>
  </si>
  <si>
    <t xml:space="preserve">[m]    </t>
  </si>
  <si>
    <t xml:space="preserve">[kNm]     </t>
  </si>
  <si>
    <t xml:space="preserve">[kNm]          </t>
  </si>
  <si>
    <t xml:space="preserve">[kPa]     </t>
  </si>
  <si>
    <t xml:space="preserve">[kN]      </t>
  </si>
  <si>
    <t xml:space="preserve">[kN]          </t>
  </si>
  <si>
    <t>[kN]</t>
  </si>
  <si>
    <t>Max Mlat</t>
  </si>
  <si>
    <t>Load step 1 (1)</t>
  </si>
  <si>
    <t xml:space="preserve">001 (1)  </t>
  </si>
  <si>
    <t>Max Flat</t>
  </si>
  <si>
    <t>Max Faxial</t>
  </si>
  <si>
    <t>Max UR</t>
  </si>
  <si>
    <t xml:space="preserve">002 (2)  </t>
  </si>
  <si>
    <t xml:space="preserve">003 (3)  </t>
  </si>
  <si>
    <t xml:space="preserve">004 (4)  </t>
  </si>
  <si>
    <t>LC06_ALS</t>
  </si>
  <si>
    <t xml:space="preserve">Load (no) </t>
  </si>
  <si>
    <t xml:space="preserve">          </t>
  </si>
  <si>
    <t>06_ALS (1)</t>
  </si>
  <si>
    <t>Eirin</t>
  </si>
  <si>
    <t>Test</t>
  </si>
  <si>
    <t>S</t>
  </si>
  <si>
    <t>C</t>
  </si>
  <si>
    <t>y</t>
  </si>
  <si>
    <t>p</t>
  </si>
  <si>
    <t>p/D</t>
  </si>
  <si>
    <t>z = 2.25 m</t>
  </si>
  <si>
    <t>Stress (kPa)</t>
  </si>
  <si>
    <t>Disp (m)</t>
  </si>
  <si>
    <t>z = 3.25 m</t>
  </si>
  <si>
    <t>z = 4.25 m</t>
  </si>
  <si>
    <t>z = 5.25 m</t>
  </si>
  <si>
    <t>z = 7.75 m</t>
  </si>
  <si>
    <t>z = 8.25 m</t>
  </si>
  <si>
    <t>z = 9.25 m</t>
  </si>
  <si>
    <t>z = 9.75 m</t>
  </si>
  <si>
    <t>z = 2.75 m</t>
  </si>
  <si>
    <t>location_gdb</t>
  </si>
  <si>
    <t>depth_orig</t>
  </si>
  <si>
    <t>depth</t>
  </si>
  <si>
    <t>unit_name</t>
  </si>
  <si>
    <t>soil_type</t>
  </si>
  <si>
    <t>site_name</t>
  </si>
  <si>
    <t>T_UW</t>
  </si>
  <si>
    <t>p0</t>
  </si>
  <si>
    <t>p0_</t>
  </si>
  <si>
    <t>Ic</t>
  </si>
  <si>
    <t>qn_A</t>
  </si>
  <si>
    <t>qn_C</t>
  </si>
  <si>
    <t>qn_E</t>
  </si>
  <si>
    <t>qc_A</t>
  </si>
  <si>
    <t>qc_C</t>
  </si>
  <si>
    <t>qc_E</t>
  </si>
  <si>
    <t>qt_A</t>
  </si>
  <si>
    <t>qt_C</t>
  </si>
  <si>
    <t>qt_E</t>
  </si>
  <si>
    <t>fs_A</t>
  </si>
  <si>
    <t>fs_C</t>
  </si>
  <si>
    <t>fs_E</t>
  </si>
  <si>
    <t>su_A</t>
  </si>
  <si>
    <t>su_C</t>
  </si>
  <si>
    <t>su_E</t>
  </si>
  <si>
    <t>dr_sat_A</t>
  </si>
  <si>
    <t>dr_sat_C</t>
  </si>
  <si>
    <t>dr_sat_E</t>
  </si>
  <si>
    <t>phi_M_A</t>
  </si>
  <si>
    <t>phi_M_C</t>
  </si>
  <si>
    <t>phi_M_E</t>
  </si>
  <si>
    <t>z =6.25 m</t>
  </si>
  <si>
    <t>z = 7.25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</si>
</sst>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wrapText="1"/>
    </xf>
    <xf numFmtId="2" fontId="1" fillId="2" borderId="1" xfId="1" applyNumberFormat="1"/>
    <xf numFmtId="2" fontId="2" fillId="2" borderId="1" xfId="1" applyNumberFormat="1" applyFont="1"/>
    <xf numFmtId="164" fontId="0" fillId="0" borderId="0" xfId="0" applyNumberFormat="1"/>
    <xf numFmtId="2" fontId="0" fillId="4" borderId="0" xfId="0" applyNumberFormat="1" applyFill="1"/>
    <xf numFmtId="165" fontId="0" fillId="0" borderId="0" xfId="0" applyNumberFormat="1"/>
    <xf numFmtId="0" fontId="3" fillId="0" borderId="2" xfId="0" applyFont="1" applyBorder="1" applyAlignment="1">
      <alignment horizontal="center" vertical="top"/>
    </xf>
    <xf numFmtId="1" fontId="0" fillId="3" borderId="0" xfId="0" applyNumberFormat="1" applyFill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B14F2F"/>
      <color rgb="FF82B589"/>
      <color rgb="FF8EB1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LC06_ALS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47299131765144"/>
          <c:y val="0.1405222144354106"/>
          <c:w val="0.8231214189706052"/>
          <c:h val="0.800005352271453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LC06_ALS!$A$4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LC06_ALS!$H$4:$H$34</c:f>
              <c:numCache>
                <c:formatCode>0.00</c:formatCode>
                <c:ptCount val="31"/>
                <c:pt idx="0">
                  <c:v>-4010</c:v>
                </c:pt>
                <c:pt idx="1">
                  <c:v>-3733</c:v>
                </c:pt>
                <c:pt idx="2">
                  <c:v>-3456</c:v>
                </c:pt>
                <c:pt idx="3">
                  <c:v>-3181</c:v>
                </c:pt>
                <c:pt idx="4">
                  <c:v>-2904</c:v>
                </c:pt>
                <c:pt idx="5">
                  <c:v>-2628</c:v>
                </c:pt>
                <c:pt idx="6">
                  <c:v>-2353</c:v>
                </c:pt>
                <c:pt idx="7">
                  <c:v>-2077</c:v>
                </c:pt>
                <c:pt idx="8">
                  <c:v>-1800</c:v>
                </c:pt>
                <c:pt idx="9">
                  <c:v>-1563</c:v>
                </c:pt>
                <c:pt idx="10">
                  <c:v>-1330</c:v>
                </c:pt>
                <c:pt idx="11">
                  <c:v>-1156</c:v>
                </c:pt>
                <c:pt idx="12">
                  <c:v>-987.5</c:v>
                </c:pt>
                <c:pt idx="13">
                  <c:v>-777.7</c:v>
                </c:pt>
                <c:pt idx="14">
                  <c:v>-578.70000000000005</c:v>
                </c:pt>
                <c:pt idx="15">
                  <c:v>-390</c:v>
                </c:pt>
                <c:pt idx="16">
                  <c:v>-214.9</c:v>
                </c:pt>
                <c:pt idx="17">
                  <c:v>-55.02</c:v>
                </c:pt>
                <c:pt idx="18">
                  <c:v>113.3</c:v>
                </c:pt>
                <c:pt idx="19">
                  <c:v>259.7</c:v>
                </c:pt>
                <c:pt idx="20">
                  <c:v>386.8</c:v>
                </c:pt>
                <c:pt idx="21">
                  <c:v>502.8</c:v>
                </c:pt>
                <c:pt idx="22">
                  <c:v>601.1</c:v>
                </c:pt>
                <c:pt idx="23">
                  <c:v>684.5</c:v>
                </c:pt>
                <c:pt idx="24">
                  <c:v>755.6</c:v>
                </c:pt>
                <c:pt idx="25">
                  <c:v>775.6</c:v>
                </c:pt>
                <c:pt idx="26">
                  <c:v>616.5</c:v>
                </c:pt>
                <c:pt idx="27">
                  <c:v>343.5</c:v>
                </c:pt>
                <c:pt idx="28">
                  <c:v>172.9</c:v>
                </c:pt>
                <c:pt idx="29">
                  <c:v>49.22</c:v>
                </c:pt>
                <c:pt idx="30">
                  <c:v>6.7019999999999996E-3</c:v>
                </c:pt>
              </c:numCache>
            </c:numRef>
          </c:xVal>
          <c:yVal>
            <c:numRef>
              <c:f>LC06_ALS!$E$4:$E$34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8-40DB-8FB4-CD1674757155}"/>
            </c:ext>
          </c:extLst>
        </c:ser>
        <c:ser>
          <c:idx val="1"/>
          <c:order val="1"/>
          <c:tx>
            <c:strRef>
              <c:f>LC06_ALS!$A$35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LC06_ALS!$H$35:$H$65</c:f>
              <c:numCache>
                <c:formatCode>0.00</c:formatCode>
                <c:ptCount val="31"/>
                <c:pt idx="0">
                  <c:v>-4085</c:v>
                </c:pt>
                <c:pt idx="1">
                  <c:v>-3806</c:v>
                </c:pt>
                <c:pt idx="2">
                  <c:v>-3527</c:v>
                </c:pt>
                <c:pt idx="3">
                  <c:v>-3247</c:v>
                </c:pt>
                <c:pt idx="4">
                  <c:v>-2967</c:v>
                </c:pt>
                <c:pt idx="5">
                  <c:v>-2686</c:v>
                </c:pt>
                <c:pt idx="6">
                  <c:v>-2407</c:v>
                </c:pt>
                <c:pt idx="7">
                  <c:v>-2126</c:v>
                </c:pt>
                <c:pt idx="8">
                  <c:v>-1845</c:v>
                </c:pt>
                <c:pt idx="9">
                  <c:v>-1603</c:v>
                </c:pt>
                <c:pt idx="10">
                  <c:v>-1366</c:v>
                </c:pt>
                <c:pt idx="11">
                  <c:v>-1189</c:v>
                </c:pt>
                <c:pt idx="12">
                  <c:v>-1017</c:v>
                </c:pt>
                <c:pt idx="13">
                  <c:v>-803.1</c:v>
                </c:pt>
                <c:pt idx="14">
                  <c:v>-599.70000000000005</c:v>
                </c:pt>
                <c:pt idx="15">
                  <c:v>-406.7</c:v>
                </c:pt>
                <c:pt idx="16">
                  <c:v>-227.3</c:v>
                </c:pt>
                <c:pt idx="17">
                  <c:v>-63.07</c:v>
                </c:pt>
                <c:pt idx="18">
                  <c:v>109.6</c:v>
                </c:pt>
                <c:pt idx="19">
                  <c:v>260.2</c:v>
                </c:pt>
                <c:pt idx="20">
                  <c:v>391</c:v>
                </c:pt>
                <c:pt idx="21">
                  <c:v>510.4</c:v>
                </c:pt>
                <c:pt idx="22">
                  <c:v>611.4</c:v>
                </c:pt>
                <c:pt idx="23">
                  <c:v>697.2</c:v>
                </c:pt>
                <c:pt idx="24">
                  <c:v>770.3</c:v>
                </c:pt>
                <c:pt idx="25">
                  <c:v>790.8</c:v>
                </c:pt>
                <c:pt idx="26">
                  <c:v>628.4</c:v>
                </c:pt>
                <c:pt idx="27">
                  <c:v>349.5</c:v>
                </c:pt>
                <c:pt idx="28">
                  <c:v>175.3</c:v>
                </c:pt>
                <c:pt idx="29">
                  <c:v>49.5</c:v>
                </c:pt>
                <c:pt idx="30">
                  <c:v>-1.014</c:v>
                </c:pt>
              </c:numCache>
            </c:numRef>
          </c:xVal>
          <c:yVal>
            <c:numRef>
              <c:f>LC06_ALS!$E$35:$E$65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78-40DB-8FB4-CD1674757155}"/>
            </c:ext>
          </c:extLst>
        </c:ser>
        <c:ser>
          <c:idx val="2"/>
          <c:order val="2"/>
          <c:tx>
            <c:strRef>
              <c:f>LC06_ALS!$A$66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LC06_ALS!$H$66:$H$96</c:f>
              <c:numCache>
                <c:formatCode>0.00</c:formatCode>
                <c:ptCount val="31"/>
                <c:pt idx="0">
                  <c:v>-3932</c:v>
                </c:pt>
                <c:pt idx="1">
                  <c:v>-3663</c:v>
                </c:pt>
                <c:pt idx="2">
                  <c:v>-3392</c:v>
                </c:pt>
                <c:pt idx="3">
                  <c:v>-3122</c:v>
                </c:pt>
                <c:pt idx="4">
                  <c:v>-2851</c:v>
                </c:pt>
                <c:pt idx="5">
                  <c:v>-2581</c:v>
                </c:pt>
                <c:pt idx="6">
                  <c:v>-2309</c:v>
                </c:pt>
                <c:pt idx="7">
                  <c:v>-2038</c:v>
                </c:pt>
                <c:pt idx="8">
                  <c:v>-1766</c:v>
                </c:pt>
                <c:pt idx="9">
                  <c:v>-1532</c:v>
                </c:pt>
                <c:pt idx="10">
                  <c:v>-1303</c:v>
                </c:pt>
                <c:pt idx="11">
                  <c:v>-1132</c:v>
                </c:pt>
                <c:pt idx="12">
                  <c:v>-965.7</c:v>
                </c:pt>
                <c:pt idx="13">
                  <c:v>-759.1</c:v>
                </c:pt>
                <c:pt idx="14">
                  <c:v>-563.20000000000005</c:v>
                </c:pt>
                <c:pt idx="15">
                  <c:v>-377.7</c:v>
                </c:pt>
                <c:pt idx="16">
                  <c:v>-205.6</c:v>
                </c:pt>
                <c:pt idx="17">
                  <c:v>-48.6</c:v>
                </c:pt>
                <c:pt idx="18">
                  <c:v>116.1</c:v>
                </c:pt>
                <c:pt idx="19">
                  <c:v>259.39999999999998</c:v>
                </c:pt>
                <c:pt idx="20">
                  <c:v>383.7</c:v>
                </c:pt>
                <c:pt idx="21">
                  <c:v>496.9</c:v>
                </c:pt>
                <c:pt idx="22">
                  <c:v>592.6</c:v>
                </c:pt>
                <c:pt idx="23">
                  <c:v>673.5</c:v>
                </c:pt>
                <c:pt idx="24">
                  <c:v>742.3</c:v>
                </c:pt>
                <c:pt idx="25">
                  <c:v>760.7</c:v>
                </c:pt>
                <c:pt idx="26">
                  <c:v>603.79999999999995</c:v>
                </c:pt>
                <c:pt idx="27">
                  <c:v>335.5</c:v>
                </c:pt>
                <c:pt idx="28">
                  <c:v>168.2</c:v>
                </c:pt>
                <c:pt idx="29">
                  <c:v>47.43</c:v>
                </c:pt>
                <c:pt idx="30">
                  <c:v>-1.105</c:v>
                </c:pt>
              </c:numCache>
            </c:numRef>
          </c:xVal>
          <c:yVal>
            <c:numRef>
              <c:f>LC06_ALS!$E$66:$E$96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78-40DB-8FB4-CD1674757155}"/>
            </c:ext>
          </c:extLst>
        </c:ser>
        <c:ser>
          <c:idx val="3"/>
          <c:order val="3"/>
          <c:tx>
            <c:strRef>
              <c:f>LC06_ALS!$A$97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LC06_ALS!$H$97:$H$127</c:f>
              <c:numCache>
                <c:formatCode>0.00</c:formatCode>
                <c:ptCount val="31"/>
                <c:pt idx="0">
                  <c:v>-4014</c:v>
                </c:pt>
                <c:pt idx="1">
                  <c:v>-3740</c:v>
                </c:pt>
                <c:pt idx="2">
                  <c:v>-3466</c:v>
                </c:pt>
                <c:pt idx="3">
                  <c:v>-3191</c:v>
                </c:pt>
                <c:pt idx="4">
                  <c:v>-2915</c:v>
                </c:pt>
                <c:pt idx="5">
                  <c:v>-2640</c:v>
                </c:pt>
                <c:pt idx="6">
                  <c:v>-2364</c:v>
                </c:pt>
                <c:pt idx="7">
                  <c:v>-2088</c:v>
                </c:pt>
                <c:pt idx="8">
                  <c:v>-1811</c:v>
                </c:pt>
                <c:pt idx="9">
                  <c:v>-1572</c:v>
                </c:pt>
                <c:pt idx="10">
                  <c:v>-1338</c:v>
                </c:pt>
                <c:pt idx="11">
                  <c:v>-1164</c:v>
                </c:pt>
                <c:pt idx="12">
                  <c:v>-994.6</c:v>
                </c:pt>
                <c:pt idx="13">
                  <c:v>-783.7</c:v>
                </c:pt>
                <c:pt idx="14">
                  <c:v>-583.5</c:v>
                </c:pt>
                <c:pt idx="15">
                  <c:v>-393.6</c:v>
                </c:pt>
                <c:pt idx="16">
                  <c:v>-217.3</c:v>
                </c:pt>
                <c:pt idx="17">
                  <c:v>-56.14</c:v>
                </c:pt>
                <c:pt idx="18">
                  <c:v>112.8</c:v>
                </c:pt>
                <c:pt idx="19">
                  <c:v>260.3</c:v>
                </c:pt>
                <c:pt idx="20">
                  <c:v>388.1</c:v>
                </c:pt>
                <c:pt idx="21">
                  <c:v>504.6</c:v>
                </c:pt>
                <c:pt idx="22">
                  <c:v>603.20000000000005</c:v>
                </c:pt>
                <c:pt idx="23">
                  <c:v>686.6</c:v>
                </c:pt>
                <c:pt idx="24">
                  <c:v>757.6</c:v>
                </c:pt>
                <c:pt idx="25">
                  <c:v>776.9</c:v>
                </c:pt>
                <c:pt idx="26">
                  <c:v>616.79999999999995</c:v>
                </c:pt>
                <c:pt idx="27">
                  <c:v>342.7</c:v>
                </c:pt>
                <c:pt idx="28">
                  <c:v>171.7</c:v>
                </c:pt>
                <c:pt idx="29">
                  <c:v>48.24</c:v>
                </c:pt>
                <c:pt idx="30">
                  <c:v>-1.4590000000000001</c:v>
                </c:pt>
              </c:numCache>
            </c:numRef>
          </c:xVal>
          <c:yVal>
            <c:numRef>
              <c:f>LC06_ALS!$E$97:$E$127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78-40DB-8FB4-CD1674757155}"/>
            </c:ext>
          </c:extLst>
        </c:ser>
        <c:ser>
          <c:idx val="4"/>
          <c:order val="4"/>
          <c:spPr>
            <a:ln w="317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LC06_ALS!$AC$66:$AC$300</c:f>
              <c:numCache>
                <c:formatCode>0.00</c:formatCode>
                <c:ptCount val="235"/>
                <c:pt idx="0">
                  <c:v>-4019.4033281463899</c:v>
                </c:pt>
                <c:pt idx="1">
                  <c:v>-3985.0533281674202</c:v>
                </c:pt>
                <c:pt idx="2">
                  <c:v>-3950.7033281761901</c:v>
                </c:pt>
                <c:pt idx="3">
                  <c:v>-3916.35332820948</c:v>
                </c:pt>
                <c:pt idx="4">
                  <c:v>-3882.0033282795898</c:v>
                </c:pt>
                <c:pt idx="5">
                  <c:v>-3847.6533284110201</c:v>
                </c:pt>
                <c:pt idx="6">
                  <c:v>-3813.3033285424599</c:v>
                </c:pt>
                <c:pt idx="7">
                  <c:v>-3778.9533287229701</c:v>
                </c:pt>
                <c:pt idx="8">
                  <c:v>-3744.6033289034799</c:v>
                </c:pt>
                <c:pt idx="9">
                  <c:v>-3710.2533291023901</c:v>
                </c:pt>
                <c:pt idx="10">
                  <c:v>-3675.9033293012999</c:v>
                </c:pt>
                <c:pt idx="11">
                  <c:v>-3641.5533295124801</c:v>
                </c:pt>
                <c:pt idx="12">
                  <c:v>-3607.2033297665898</c:v>
                </c:pt>
                <c:pt idx="13">
                  <c:v>-3572.85332999004</c:v>
                </c:pt>
                <c:pt idx="14">
                  <c:v>-3538.5033302748202</c:v>
                </c:pt>
                <c:pt idx="15">
                  <c:v>-3504.1533305780099</c:v>
                </c:pt>
                <c:pt idx="16">
                  <c:v>-3469.8033308750601</c:v>
                </c:pt>
                <c:pt idx="17">
                  <c:v>-3435.4533311843802</c:v>
                </c:pt>
                <c:pt idx="18">
                  <c:v>-3401.1033314998299</c:v>
                </c:pt>
                <c:pt idx="19">
                  <c:v>-3366.75333184595</c:v>
                </c:pt>
                <c:pt idx="20">
                  <c:v>-3332.4033322166001</c:v>
                </c:pt>
                <c:pt idx="21">
                  <c:v>-3298.0533326179302</c:v>
                </c:pt>
                <c:pt idx="22">
                  <c:v>-3263.7033330253898</c:v>
                </c:pt>
                <c:pt idx="23">
                  <c:v>-3229.3533334635199</c:v>
                </c:pt>
                <c:pt idx="24">
                  <c:v>-3195.00333390164</c:v>
                </c:pt>
                <c:pt idx="25">
                  <c:v>-3160.65333433977</c:v>
                </c:pt>
                <c:pt idx="26">
                  <c:v>-3126.3033347656301</c:v>
                </c:pt>
                <c:pt idx="27">
                  <c:v>-3091.9533352160302</c:v>
                </c:pt>
                <c:pt idx="28">
                  <c:v>-3057.6033356786902</c:v>
                </c:pt>
                <c:pt idx="29">
                  <c:v>-3023.2533361536198</c:v>
                </c:pt>
                <c:pt idx="30">
                  <c:v>-2988.9033366408198</c:v>
                </c:pt>
                <c:pt idx="31">
                  <c:v>-2954.5533371341498</c:v>
                </c:pt>
                <c:pt idx="32">
                  <c:v>-2920.2033376520098</c:v>
                </c:pt>
                <c:pt idx="33">
                  <c:v>-2885.8533381821499</c:v>
                </c:pt>
                <c:pt idx="34">
                  <c:v>-2851.5033387490798</c:v>
                </c:pt>
                <c:pt idx="35">
                  <c:v>-2817.1533393160198</c:v>
                </c:pt>
                <c:pt idx="36">
                  <c:v>-2782.8033398645598</c:v>
                </c:pt>
                <c:pt idx="37">
                  <c:v>-2748.4533404744302</c:v>
                </c:pt>
                <c:pt idx="38">
                  <c:v>-2714.1033410781702</c:v>
                </c:pt>
                <c:pt idx="39">
                  <c:v>-2679.7533417003101</c:v>
                </c:pt>
                <c:pt idx="40">
                  <c:v>-2645.40334234699</c:v>
                </c:pt>
                <c:pt idx="41">
                  <c:v>-2611.0533429998</c:v>
                </c:pt>
                <c:pt idx="42">
                  <c:v>-2576.7033437016798</c:v>
                </c:pt>
                <c:pt idx="43">
                  <c:v>-2542.3533444158202</c:v>
                </c:pt>
                <c:pt idx="44">
                  <c:v>-2508.0033451299701</c:v>
                </c:pt>
                <c:pt idx="45">
                  <c:v>-2473.6533458747899</c:v>
                </c:pt>
                <c:pt idx="46">
                  <c:v>-2439.3033466257398</c:v>
                </c:pt>
                <c:pt idx="47">
                  <c:v>-2404.9533474134901</c:v>
                </c:pt>
                <c:pt idx="48">
                  <c:v>-2370.6033482073699</c:v>
                </c:pt>
                <c:pt idx="49">
                  <c:v>-2336.2533490012602</c:v>
                </c:pt>
                <c:pt idx="50">
                  <c:v>-2301.90334980741</c:v>
                </c:pt>
                <c:pt idx="51">
                  <c:v>-2267.5533506196998</c:v>
                </c:pt>
                <c:pt idx="52">
                  <c:v>-2233.2033514565301</c:v>
                </c:pt>
                <c:pt idx="53">
                  <c:v>-2198.8533522933499</c:v>
                </c:pt>
                <c:pt idx="54">
                  <c:v>-2164.5033531240401</c:v>
                </c:pt>
                <c:pt idx="55">
                  <c:v>-2130.1533539853899</c:v>
                </c:pt>
                <c:pt idx="56">
                  <c:v>-2095.8033548467502</c:v>
                </c:pt>
                <c:pt idx="57">
                  <c:v>-2061.4533557265099</c:v>
                </c:pt>
                <c:pt idx="58">
                  <c:v>-2027.1033566123999</c:v>
                </c:pt>
                <c:pt idx="59">
                  <c:v>-1992.7533575228299</c:v>
                </c:pt>
                <c:pt idx="60">
                  <c:v>-1958.4033584455301</c:v>
                </c:pt>
                <c:pt idx="61">
                  <c:v>-1924.0533593927601</c:v>
                </c:pt>
                <c:pt idx="62">
                  <c:v>-1889.70336033386</c:v>
                </c:pt>
                <c:pt idx="63">
                  <c:v>-1855.35336131176</c:v>
                </c:pt>
                <c:pt idx="64">
                  <c:v>-1821.0033623080601</c:v>
                </c:pt>
                <c:pt idx="65">
                  <c:v>-1786.65336332276</c:v>
                </c:pt>
                <c:pt idx="66">
                  <c:v>-1752.3033643435899</c:v>
                </c:pt>
                <c:pt idx="67">
                  <c:v>-1717.96501180567</c:v>
                </c:pt>
                <c:pt idx="68">
                  <c:v>-1683.65061235281</c:v>
                </c:pt>
                <c:pt idx="69">
                  <c:v>-1649.37308755191</c:v>
                </c:pt>
                <c:pt idx="70">
                  <c:v>-1615.14592865021</c:v>
                </c:pt>
                <c:pt idx="71">
                  <c:v>-1580.98315115473</c:v>
                </c:pt>
                <c:pt idx="72">
                  <c:v>-1546.8992497612601</c:v>
                </c:pt>
                <c:pt idx="73">
                  <c:v>-1512.9091528234101</c:v>
                </c:pt>
                <c:pt idx="74">
                  <c:v>-1479.02817719571</c:v>
                </c:pt>
                <c:pt idx="75">
                  <c:v>-1445.27198286214</c:v>
                </c:pt>
                <c:pt idx="76">
                  <c:v>-1411.65652769339</c:v>
                </c:pt>
                <c:pt idx="77">
                  <c:v>-1378.1887317575899</c:v>
                </c:pt>
                <c:pt idx="78">
                  <c:v>-1344.8720119407999</c:v>
                </c:pt>
                <c:pt idx="79">
                  <c:v>-1311.70978833701</c:v>
                </c:pt>
                <c:pt idx="80">
                  <c:v>-1278.7054840641899</c:v>
                </c:pt>
                <c:pt idx="81">
                  <c:v>-1245.86252498208</c:v>
                </c:pt>
                <c:pt idx="82">
                  <c:v>-1213.1843394714199</c:v>
                </c:pt>
                <c:pt idx="83">
                  <c:v>-1180.67435821924</c:v>
                </c:pt>
                <c:pt idx="84">
                  <c:v>-1148.33601403486</c:v>
                </c:pt>
                <c:pt idx="85">
                  <c:v>-1116.1727416229401</c:v>
                </c:pt>
                <c:pt idx="86">
                  <c:v>-1084.1879773503799</c:v>
                </c:pt>
                <c:pt idx="87">
                  <c:v>-1052.3851590377899</c:v>
                </c:pt>
                <c:pt idx="88">
                  <c:v>-1020.76772581228</c:v>
                </c:pt>
                <c:pt idx="89">
                  <c:v>-989.33911778541994</c:v>
                </c:pt>
                <c:pt idx="90">
                  <c:v>-958.10277601645703</c:v>
                </c:pt>
                <c:pt idx="91">
                  <c:v>-927.06214217494403</c:v>
                </c:pt>
                <c:pt idx="92">
                  <c:v>-896.22065848247598</c:v>
                </c:pt>
                <c:pt idx="93">
                  <c:v>-865.58176739373005</c:v>
                </c:pt>
                <c:pt idx="94">
                  <c:v>-835.14891150445897</c:v>
                </c:pt>
                <c:pt idx="95">
                  <c:v>-804.92553332147895</c:v>
                </c:pt>
                <c:pt idx="96">
                  <c:v>-774.91507512772</c:v>
                </c:pt>
                <c:pt idx="97">
                  <c:v>-745.12097877061501</c:v>
                </c:pt>
                <c:pt idx="98">
                  <c:v>-715.54668549955704</c:v>
                </c:pt>
                <c:pt idx="99">
                  <c:v>-686.19563583094805</c:v>
                </c:pt>
                <c:pt idx="100">
                  <c:v>-657.07126935192798</c:v>
                </c:pt>
                <c:pt idx="101">
                  <c:v>-628.17702457315704</c:v>
                </c:pt>
                <c:pt idx="102">
                  <c:v>-599.51633876934102</c:v>
                </c:pt>
                <c:pt idx="103">
                  <c:v>-571.09264781361696</c:v>
                </c:pt>
                <c:pt idx="104">
                  <c:v>-542.90938606101497</c:v>
                </c:pt>
                <c:pt idx="105">
                  <c:v>-514.96998618897601</c:v>
                </c:pt>
                <c:pt idx="106">
                  <c:v>-487.27787903787902</c:v>
                </c:pt>
                <c:pt idx="107">
                  <c:v>-459.83649344848902</c:v>
                </c:pt>
                <c:pt idx="108">
                  <c:v>-432.649256191424</c:v>
                </c:pt>
                <c:pt idx="109">
                  <c:v>-405.719591844479</c:v>
                </c:pt>
                <c:pt idx="110">
                  <c:v>-379.05092255954003</c:v>
                </c:pt>
                <c:pt idx="111">
                  <c:v>-352.646668056453</c:v>
                </c:pt>
                <c:pt idx="112">
                  <c:v>-326.51024541447299</c:v>
                </c:pt>
              </c:numCache>
            </c:numRef>
          </c:xVal>
          <c:yVal>
            <c:numRef>
              <c:f>LC06_ALS!$Z$66:$Z$300</c:f>
              <c:numCache>
                <c:formatCode>0.00</c:formatCode>
                <c:ptCount val="235"/>
                <c:pt idx="0">
                  <c:v>1.2</c:v>
                </c:pt>
                <c:pt idx="1">
                  <c:v>1.0999999999999901</c:v>
                </c:pt>
                <c:pt idx="2">
                  <c:v>0.999999999999999</c:v>
                </c:pt>
                <c:pt idx="3">
                  <c:v>0.89999999999999902</c:v>
                </c:pt>
                <c:pt idx="4">
                  <c:v>0.79999999999999905</c:v>
                </c:pt>
                <c:pt idx="5">
                  <c:v>0.69999999999999896</c:v>
                </c:pt>
                <c:pt idx="6">
                  <c:v>0.59999999999999898</c:v>
                </c:pt>
                <c:pt idx="7">
                  <c:v>0.499999999999999</c:v>
                </c:pt>
                <c:pt idx="8">
                  <c:v>0.39999999999999902</c:v>
                </c:pt>
                <c:pt idx="9">
                  <c:v>0.29999999999999899</c:v>
                </c:pt>
                <c:pt idx="10">
                  <c:v>0.19999999999999901</c:v>
                </c:pt>
                <c:pt idx="11">
                  <c:v>9.9999999999998895E-2</c:v>
                </c:pt>
                <c:pt idx="12">
                  <c:v>-1.11022302462515E-15</c:v>
                </c:pt>
                <c:pt idx="13">
                  <c:v>-0.100000000000001</c:v>
                </c:pt>
                <c:pt idx="14">
                  <c:v>-0.20000000000000101</c:v>
                </c:pt>
                <c:pt idx="15">
                  <c:v>-0.30000000000000099</c:v>
                </c:pt>
                <c:pt idx="16">
                  <c:v>-0.40000000000000102</c:v>
                </c:pt>
                <c:pt idx="17">
                  <c:v>-0.500000000000001</c:v>
                </c:pt>
                <c:pt idx="18">
                  <c:v>-0.60000000000000098</c:v>
                </c:pt>
                <c:pt idx="19">
                  <c:v>-0.70000000000000095</c:v>
                </c:pt>
                <c:pt idx="20">
                  <c:v>-0.80000000000000104</c:v>
                </c:pt>
                <c:pt idx="21">
                  <c:v>-0.90000000000000102</c:v>
                </c:pt>
                <c:pt idx="22">
                  <c:v>-1</c:v>
                </c:pt>
                <c:pt idx="23">
                  <c:v>-1.1000000000000001</c:v>
                </c:pt>
                <c:pt idx="24">
                  <c:v>-1.2</c:v>
                </c:pt>
                <c:pt idx="25">
                  <c:v>-1.3</c:v>
                </c:pt>
                <c:pt idx="26">
                  <c:v>-1.4</c:v>
                </c:pt>
                <c:pt idx="27">
                  <c:v>-1.5</c:v>
                </c:pt>
                <c:pt idx="28">
                  <c:v>-1.6</c:v>
                </c:pt>
                <c:pt idx="29">
                  <c:v>-1.7</c:v>
                </c:pt>
                <c:pt idx="30">
                  <c:v>-1.8</c:v>
                </c:pt>
                <c:pt idx="31">
                  <c:v>-1.9</c:v>
                </c:pt>
                <c:pt idx="32">
                  <c:v>-2</c:v>
                </c:pt>
                <c:pt idx="33">
                  <c:v>-2.1</c:v>
                </c:pt>
                <c:pt idx="34">
                  <c:v>-2.2000000000000002</c:v>
                </c:pt>
                <c:pt idx="35">
                  <c:v>-2.2999999999999998</c:v>
                </c:pt>
                <c:pt idx="36">
                  <c:v>-2.4</c:v>
                </c:pt>
                <c:pt idx="37">
                  <c:v>-2.5</c:v>
                </c:pt>
                <c:pt idx="38">
                  <c:v>-2.6</c:v>
                </c:pt>
                <c:pt idx="39">
                  <c:v>-2.7</c:v>
                </c:pt>
                <c:pt idx="40">
                  <c:v>-2.8</c:v>
                </c:pt>
                <c:pt idx="41">
                  <c:v>-2.9</c:v>
                </c:pt>
                <c:pt idx="42">
                  <c:v>-3</c:v>
                </c:pt>
                <c:pt idx="43">
                  <c:v>-3.1</c:v>
                </c:pt>
                <c:pt idx="44">
                  <c:v>-3.2</c:v>
                </c:pt>
                <c:pt idx="45">
                  <c:v>-3.3</c:v>
                </c:pt>
                <c:pt idx="46">
                  <c:v>-3.4</c:v>
                </c:pt>
                <c:pt idx="47">
                  <c:v>-3.5</c:v>
                </c:pt>
                <c:pt idx="48">
                  <c:v>-3.6</c:v>
                </c:pt>
                <c:pt idx="49">
                  <c:v>-3.7</c:v>
                </c:pt>
                <c:pt idx="50">
                  <c:v>-3.8</c:v>
                </c:pt>
                <c:pt idx="51">
                  <c:v>-3.9</c:v>
                </c:pt>
                <c:pt idx="52">
                  <c:v>-4</c:v>
                </c:pt>
                <c:pt idx="53">
                  <c:v>-4.0999999999999996</c:v>
                </c:pt>
                <c:pt idx="54">
                  <c:v>-4.2</c:v>
                </c:pt>
                <c:pt idx="55">
                  <c:v>-4.3</c:v>
                </c:pt>
                <c:pt idx="56">
                  <c:v>-4.4000000000000004</c:v>
                </c:pt>
                <c:pt idx="57">
                  <c:v>-4.5</c:v>
                </c:pt>
                <c:pt idx="58">
                  <c:v>-4.5999999999999996</c:v>
                </c:pt>
                <c:pt idx="59">
                  <c:v>-4.7</c:v>
                </c:pt>
                <c:pt idx="60">
                  <c:v>-4.8</c:v>
                </c:pt>
                <c:pt idx="61">
                  <c:v>-4.9000000000000004</c:v>
                </c:pt>
                <c:pt idx="62">
                  <c:v>-5</c:v>
                </c:pt>
                <c:pt idx="63">
                  <c:v>-5.0999999999999996</c:v>
                </c:pt>
                <c:pt idx="64">
                  <c:v>-5.2</c:v>
                </c:pt>
                <c:pt idx="65">
                  <c:v>-5.3</c:v>
                </c:pt>
                <c:pt idx="66">
                  <c:v>-5.4</c:v>
                </c:pt>
                <c:pt idx="67">
                  <c:v>-5.5</c:v>
                </c:pt>
                <c:pt idx="68">
                  <c:v>-5.6</c:v>
                </c:pt>
                <c:pt idx="69">
                  <c:v>-5.7</c:v>
                </c:pt>
                <c:pt idx="70">
                  <c:v>-5.8</c:v>
                </c:pt>
                <c:pt idx="71">
                  <c:v>-5.9</c:v>
                </c:pt>
                <c:pt idx="72">
                  <c:v>-6</c:v>
                </c:pt>
                <c:pt idx="73">
                  <c:v>-6.1</c:v>
                </c:pt>
                <c:pt idx="74">
                  <c:v>-6.2</c:v>
                </c:pt>
                <c:pt idx="75">
                  <c:v>-6.3</c:v>
                </c:pt>
                <c:pt idx="76">
                  <c:v>-6.4</c:v>
                </c:pt>
                <c:pt idx="77">
                  <c:v>-6.5</c:v>
                </c:pt>
                <c:pt idx="78">
                  <c:v>-6.6</c:v>
                </c:pt>
                <c:pt idx="79">
                  <c:v>-6.7</c:v>
                </c:pt>
                <c:pt idx="80">
                  <c:v>-6.8</c:v>
                </c:pt>
                <c:pt idx="81">
                  <c:v>-6.9</c:v>
                </c:pt>
                <c:pt idx="82">
                  <c:v>-7</c:v>
                </c:pt>
                <c:pt idx="83">
                  <c:v>-7.1</c:v>
                </c:pt>
                <c:pt idx="84">
                  <c:v>-7.2</c:v>
                </c:pt>
                <c:pt idx="85">
                  <c:v>-7.3</c:v>
                </c:pt>
                <c:pt idx="86">
                  <c:v>-7.4</c:v>
                </c:pt>
                <c:pt idx="87">
                  <c:v>-7.5</c:v>
                </c:pt>
                <c:pt idx="88">
                  <c:v>-7.6</c:v>
                </c:pt>
                <c:pt idx="89">
                  <c:v>-7.7</c:v>
                </c:pt>
                <c:pt idx="90">
                  <c:v>-7.8</c:v>
                </c:pt>
                <c:pt idx="91">
                  <c:v>-7.9</c:v>
                </c:pt>
                <c:pt idx="92">
                  <c:v>-8</c:v>
                </c:pt>
                <c:pt idx="93">
                  <c:v>-8.1</c:v>
                </c:pt>
                <c:pt idx="94">
                  <c:v>-8.2000000000000099</c:v>
                </c:pt>
                <c:pt idx="95">
                  <c:v>-8.3000000000000096</c:v>
                </c:pt>
                <c:pt idx="96">
                  <c:v>-8.4000000000000092</c:v>
                </c:pt>
                <c:pt idx="97">
                  <c:v>-8.5</c:v>
                </c:pt>
                <c:pt idx="98">
                  <c:v>-8.6</c:v>
                </c:pt>
                <c:pt idx="99">
                  <c:v>-8.7000000000000099</c:v>
                </c:pt>
                <c:pt idx="100">
                  <c:v>-8.8000000000000096</c:v>
                </c:pt>
                <c:pt idx="101">
                  <c:v>-8.9000000000000092</c:v>
                </c:pt>
                <c:pt idx="102">
                  <c:v>-9.0000000000000107</c:v>
                </c:pt>
                <c:pt idx="103">
                  <c:v>-9.1000000000000103</c:v>
                </c:pt>
                <c:pt idx="104">
                  <c:v>-9.2000000000000099</c:v>
                </c:pt>
                <c:pt idx="105">
                  <c:v>-9.3000000000000096</c:v>
                </c:pt>
                <c:pt idx="106">
                  <c:v>-9.4000000000000092</c:v>
                </c:pt>
                <c:pt idx="107">
                  <c:v>-9.5000000000000107</c:v>
                </c:pt>
                <c:pt idx="108">
                  <c:v>-9.6000000000000103</c:v>
                </c:pt>
                <c:pt idx="109">
                  <c:v>-9.7000000000000099</c:v>
                </c:pt>
                <c:pt idx="110">
                  <c:v>-9.8000000000000096</c:v>
                </c:pt>
                <c:pt idx="111">
                  <c:v>-9.9000000000000092</c:v>
                </c:pt>
                <c:pt idx="112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78-40DB-8FB4-CD167475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03855"/>
        <c:axId val="1910445519"/>
      </c:scatterChart>
      <c:valAx>
        <c:axId val="1959703855"/>
        <c:scaling>
          <c:orientation val="minMax"/>
          <c:max val="3000"/>
          <c:min val="-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Lateral</a:t>
                </a:r>
                <a:r>
                  <a:rPr lang="en-GB" baseline="0"/>
                  <a:t> moment, M</a:t>
                </a:r>
                <a:r>
                  <a:rPr lang="en-GB" sz="700" baseline="0"/>
                  <a:t>lat</a:t>
                </a:r>
                <a:r>
                  <a:rPr lang="en-GB" baseline="0"/>
                  <a:t> [kNm]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6251211461302701"/>
              <c:y val="6.52599113195523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in"/>
        <c:minorTickMark val="in"/>
        <c:tickLblPos val="high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5519"/>
        <c:crossesAt val="2"/>
        <c:crossBetween val="midCat"/>
      </c:valAx>
      <c:valAx>
        <c:axId val="1910445519"/>
        <c:scaling>
          <c:orientation val="minMax"/>
          <c:max val="2"/>
          <c:min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Z-level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03855"/>
        <c:crossesAt val="-5000"/>
        <c:crossBetween val="midCat"/>
        <c:majorUnit val="2"/>
        <c:minorUnit val="0.5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980646305891684"/>
          <c:y val="0.78168235272472419"/>
          <c:w val="0.15835639854354405"/>
          <c:h val="0.1824556396989363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LC06_ALS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47299131765144"/>
          <c:y val="0.1405222144354106"/>
          <c:w val="0.8231214189706052"/>
          <c:h val="0.800005352271453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LC06_ALS!$A$4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LC06_ALS!$L$4:$L$34</c:f>
              <c:numCache>
                <c:formatCode>0.00</c:formatCode>
                <c:ptCount val="31"/>
                <c:pt idx="0">
                  <c:v>-682.4</c:v>
                </c:pt>
                <c:pt idx="1">
                  <c:v>-682.4</c:v>
                </c:pt>
                <c:pt idx="2">
                  <c:v>-682.4</c:v>
                </c:pt>
                <c:pt idx="3">
                  <c:v>-682.4</c:v>
                </c:pt>
                <c:pt idx="4">
                  <c:v>-682.4</c:v>
                </c:pt>
                <c:pt idx="5">
                  <c:v>-682.4</c:v>
                </c:pt>
                <c:pt idx="6">
                  <c:v>-682.4</c:v>
                </c:pt>
                <c:pt idx="7">
                  <c:v>-682.4</c:v>
                </c:pt>
                <c:pt idx="8">
                  <c:v>-682.4</c:v>
                </c:pt>
                <c:pt idx="9">
                  <c:v>-675.8</c:v>
                </c:pt>
                <c:pt idx="10">
                  <c:v>-654.79999999999995</c:v>
                </c:pt>
                <c:pt idx="11">
                  <c:v>-634.4</c:v>
                </c:pt>
                <c:pt idx="12">
                  <c:v>-614.5</c:v>
                </c:pt>
                <c:pt idx="13">
                  <c:v>-585.5</c:v>
                </c:pt>
                <c:pt idx="14">
                  <c:v>-552.9</c:v>
                </c:pt>
                <c:pt idx="15">
                  <c:v>-516.4</c:v>
                </c:pt>
                <c:pt idx="16">
                  <c:v>-476.1</c:v>
                </c:pt>
                <c:pt idx="17">
                  <c:v>-432.3</c:v>
                </c:pt>
                <c:pt idx="18">
                  <c:v>-380.1</c:v>
                </c:pt>
                <c:pt idx="19">
                  <c:v>-331.1</c:v>
                </c:pt>
                <c:pt idx="20">
                  <c:v>-286.2</c:v>
                </c:pt>
                <c:pt idx="21">
                  <c:v>-243.2</c:v>
                </c:pt>
                <c:pt idx="22">
                  <c:v>-206</c:v>
                </c:pt>
                <c:pt idx="23">
                  <c:v>-175</c:v>
                </c:pt>
                <c:pt idx="24">
                  <c:v>-150.69999999999999</c:v>
                </c:pt>
                <c:pt idx="25">
                  <c:v>146.30000000000001</c:v>
                </c:pt>
                <c:pt idx="26">
                  <c:v>573.79999999999995</c:v>
                </c:pt>
                <c:pt idx="27">
                  <c:v>692.7</c:v>
                </c:pt>
                <c:pt idx="28">
                  <c:v>596.70000000000005</c:v>
                </c:pt>
                <c:pt idx="29">
                  <c:v>369.3</c:v>
                </c:pt>
                <c:pt idx="30">
                  <c:v>0</c:v>
                </c:pt>
              </c:numCache>
            </c:numRef>
          </c:xVal>
          <c:yVal>
            <c:numRef>
              <c:f>LC06_ALS!$E$4:$E$34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1-4601-BCE7-46BC88CBCE92}"/>
            </c:ext>
          </c:extLst>
        </c:ser>
        <c:ser>
          <c:idx val="1"/>
          <c:order val="1"/>
          <c:tx>
            <c:strRef>
              <c:f>LC06_ALS!$A$35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LC06_ALS!$K$35:$K$65</c:f>
              <c:numCache>
                <c:formatCode>0.00</c:formatCode>
                <c:ptCount val="31"/>
                <c:pt idx="0">
                  <c:v>-526.20000000000005</c:v>
                </c:pt>
                <c:pt idx="1">
                  <c:v>-526.20000000000005</c:v>
                </c:pt>
                <c:pt idx="2">
                  <c:v>-526.20000000000005</c:v>
                </c:pt>
                <c:pt idx="3">
                  <c:v>-526.20000000000005</c:v>
                </c:pt>
                <c:pt idx="4">
                  <c:v>-526.20000000000005</c:v>
                </c:pt>
                <c:pt idx="5">
                  <c:v>-526.20000000000005</c:v>
                </c:pt>
                <c:pt idx="6">
                  <c:v>-526.20000000000005</c:v>
                </c:pt>
                <c:pt idx="7">
                  <c:v>-526.20000000000005</c:v>
                </c:pt>
                <c:pt idx="8">
                  <c:v>-526.20000000000005</c:v>
                </c:pt>
                <c:pt idx="9">
                  <c:v>-521.1</c:v>
                </c:pt>
                <c:pt idx="10">
                  <c:v>-505</c:v>
                </c:pt>
                <c:pt idx="11">
                  <c:v>-489.2</c:v>
                </c:pt>
                <c:pt idx="12">
                  <c:v>-473.9</c:v>
                </c:pt>
                <c:pt idx="13">
                  <c:v>-451.6</c:v>
                </c:pt>
                <c:pt idx="14">
                  <c:v>-426.4</c:v>
                </c:pt>
                <c:pt idx="15">
                  <c:v>-398.2</c:v>
                </c:pt>
                <c:pt idx="16">
                  <c:v>-367.2</c:v>
                </c:pt>
                <c:pt idx="17">
                  <c:v>-333.4</c:v>
                </c:pt>
                <c:pt idx="18">
                  <c:v>-292.8</c:v>
                </c:pt>
                <c:pt idx="19">
                  <c:v>-254.4</c:v>
                </c:pt>
                <c:pt idx="20">
                  <c:v>-219.1</c:v>
                </c:pt>
                <c:pt idx="21">
                  <c:v>-185.4</c:v>
                </c:pt>
                <c:pt idx="22">
                  <c:v>-156.30000000000001</c:v>
                </c:pt>
                <c:pt idx="23">
                  <c:v>-131.9</c:v>
                </c:pt>
                <c:pt idx="24">
                  <c:v>-112.9</c:v>
                </c:pt>
                <c:pt idx="25">
                  <c:v>119.6</c:v>
                </c:pt>
                <c:pt idx="26">
                  <c:v>454.1</c:v>
                </c:pt>
                <c:pt idx="27">
                  <c:v>546.29999999999995</c:v>
                </c:pt>
                <c:pt idx="28">
                  <c:v>470.1</c:v>
                </c:pt>
                <c:pt idx="29">
                  <c:v>290.8</c:v>
                </c:pt>
                <c:pt idx="30">
                  <c:v>0</c:v>
                </c:pt>
              </c:numCache>
            </c:numRef>
          </c:xVal>
          <c:yVal>
            <c:numRef>
              <c:f>LC06_ALS!$E$35:$E$65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A1-4601-BCE7-46BC88CBCE92}"/>
            </c:ext>
          </c:extLst>
        </c:ser>
        <c:ser>
          <c:idx val="2"/>
          <c:order val="2"/>
          <c:tx>
            <c:strRef>
              <c:f>LC06_ALS!$A$66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LC06_ALS!$L$66:$L$96</c:f>
              <c:numCache>
                <c:formatCode>0.00</c:formatCode>
                <c:ptCount val="31"/>
                <c:pt idx="0">
                  <c:v>-664.6</c:v>
                </c:pt>
                <c:pt idx="1">
                  <c:v>-664.6</c:v>
                </c:pt>
                <c:pt idx="2">
                  <c:v>-664.6</c:v>
                </c:pt>
                <c:pt idx="3">
                  <c:v>-664.6</c:v>
                </c:pt>
                <c:pt idx="4">
                  <c:v>-664.6</c:v>
                </c:pt>
                <c:pt idx="5">
                  <c:v>-664.6</c:v>
                </c:pt>
                <c:pt idx="6">
                  <c:v>-664.6</c:v>
                </c:pt>
                <c:pt idx="7">
                  <c:v>-664.6</c:v>
                </c:pt>
                <c:pt idx="8">
                  <c:v>-664.6</c:v>
                </c:pt>
                <c:pt idx="9">
                  <c:v>-658</c:v>
                </c:pt>
                <c:pt idx="10">
                  <c:v>-637</c:v>
                </c:pt>
                <c:pt idx="11">
                  <c:v>-616.6</c:v>
                </c:pt>
                <c:pt idx="12">
                  <c:v>-596.79999999999995</c:v>
                </c:pt>
                <c:pt idx="13">
                  <c:v>-568.1</c:v>
                </c:pt>
                <c:pt idx="14">
                  <c:v>-535.6</c:v>
                </c:pt>
                <c:pt idx="15">
                  <c:v>-499.2</c:v>
                </c:pt>
                <c:pt idx="16">
                  <c:v>-459.1</c:v>
                </c:pt>
                <c:pt idx="17">
                  <c:v>-415.5</c:v>
                </c:pt>
                <c:pt idx="18">
                  <c:v>-364</c:v>
                </c:pt>
                <c:pt idx="19">
                  <c:v>-315.89999999999998</c:v>
                </c:pt>
                <c:pt idx="20">
                  <c:v>-271.8</c:v>
                </c:pt>
                <c:pt idx="21">
                  <c:v>-229.6</c:v>
                </c:pt>
                <c:pt idx="22">
                  <c:v>-193.1</c:v>
                </c:pt>
                <c:pt idx="23">
                  <c:v>-162.80000000000001</c:v>
                </c:pt>
                <c:pt idx="24">
                  <c:v>-139</c:v>
                </c:pt>
                <c:pt idx="25">
                  <c:v>151.80000000000001</c:v>
                </c:pt>
                <c:pt idx="26">
                  <c:v>569.9</c:v>
                </c:pt>
                <c:pt idx="27">
                  <c:v>684.7</c:v>
                </c:pt>
                <c:pt idx="28">
                  <c:v>589</c:v>
                </c:pt>
                <c:pt idx="29">
                  <c:v>364.2</c:v>
                </c:pt>
                <c:pt idx="30">
                  <c:v>0</c:v>
                </c:pt>
              </c:numCache>
            </c:numRef>
          </c:xVal>
          <c:yVal>
            <c:numRef>
              <c:f>LC06_ALS!$E$66:$E$96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A1-4601-BCE7-46BC88CBCE92}"/>
            </c:ext>
          </c:extLst>
        </c:ser>
        <c:ser>
          <c:idx val="3"/>
          <c:order val="3"/>
          <c:tx>
            <c:strRef>
              <c:f>LC06_ALS!$A$97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LC06_ALS!$L$97:$L$127</c:f>
              <c:numCache>
                <c:formatCode>0.00</c:formatCode>
                <c:ptCount val="31"/>
                <c:pt idx="0">
                  <c:v>-675</c:v>
                </c:pt>
                <c:pt idx="1">
                  <c:v>-675</c:v>
                </c:pt>
                <c:pt idx="2">
                  <c:v>-675</c:v>
                </c:pt>
                <c:pt idx="3">
                  <c:v>-675</c:v>
                </c:pt>
                <c:pt idx="4">
                  <c:v>-675</c:v>
                </c:pt>
                <c:pt idx="5">
                  <c:v>-675</c:v>
                </c:pt>
                <c:pt idx="6">
                  <c:v>-675</c:v>
                </c:pt>
                <c:pt idx="7">
                  <c:v>-675</c:v>
                </c:pt>
                <c:pt idx="8">
                  <c:v>-675</c:v>
                </c:pt>
                <c:pt idx="9">
                  <c:v>-668.4</c:v>
                </c:pt>
                <c:pt idx="10">
                  <c:v>-647.4</c:v>
                </c:pt>
                <c:pt idx="11">
                  <c:v>-626.9</c:v>
                </c:pt>
                <c:pt idx="12">
                  <c:v>-607</c:v>
                </c:pt>
                <c:pt idx="13">
                  <c:v>-578.1</c:v>
                </c:pt>
                <c:pt idx="14">
                  <c:v>-545.4</c:v>
                </c:pt>
                <c:pt idx="15">
                  <c:v>-508.8</c:v>
                </c:pt>
                <c:pt idx="16">
                  <c:v>-468.5</c:v>
                </c:pt>
                <c:pt idx="17">
                  <c:v>-424.6</c:v>
                </c:pt>
                <c:pt idx="18">
                  <c:v>-372.3</c:v>
                </c:pt>
                <c:pt idx="19">
                  <c:v>-323.10000000000002</c:v>
                </c:pt>
                <c:pt idx="20">
                  <c:v>-277.89999999999998</c:v>
                </c:pt>
                <c:pt idx="21">
                  <c:v>-234.8</c:v>
                </c:pt>
                <c:pt idx="22">
                  <c:v>-197.4</c:v>
                </c:pt>
                <c:pt idx="23">
                  <c:v>-166.3</c:v>
                </c:pt>
                <c:pt idx="24">
                  <c:v>-141.9</c:v>
                </c:pt>
                <c:pt idx="25">
                  <c:v>155.69999999999999</c:v>
                </c:pt>
                <c:pt idx="26">
                  <c:v>583.70000000000005</c:v>
                </c:pt>
                <c:pt idx="27">
                  <c:v>701.2</c:v>
                </c:pt>
                <c:pt idx="28">
                  <c:v>603.20000000000005</c:v>
                </c:pt>
                <c:pt idx="29">
                  <c:v>373</c:v>
                </c:pt>
                <c:pt idx="30">
                  <c:v>0</c:v>
                </c:pt>
              </c:numCache>
            </c:numRef>
          </c:xVal>
          <c:yVal>
            <c:numRef>
              <c:f>LC06_ALS!$E$97:$E$127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A1-4601-BCE7-46BC88CBCE92}"/>
            </c:ext>
          </c:extLst>
        </c:ser>
        <c:ser>
          <c:idx val="4"/>
          <c:order val="4"/>
          <c:spPr>
            <a:ln w="317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LC06_ALS!$X$66:$X$300</c:f>
              <c:numCache>
                <c:formatCode>0.00</c:formatCode>
                <c:ptCount val="235"/>
                <c:pt idx="0">
                  <c:v>-686.99999945669299</c:v>
                </c:pt>
                <c:pt idx="1">
                  <c:v>-686.99999970205602</c:v>
                </c:pt>
                <c:pt idx="2">
                  <c:v>-686.99999957938405</c:v>
                </c:pt>
                <c:pt idx="3">
                  <c:v>-686.99999896600195</c:v>
                </c:pt>
                <c:pt idx="4">
                  <c:v>-686.99999798460306</c:v>
                </c:pt>
                <c:pt idx="5">
                  <c:v>-686.99999737122596</c:v>
                </c:pt>
                <c:pt idx="6">
                  <c:v>-686.99999688051696</c:v>
                </c:pt>
                <c:pt idx="7">
                  <c:v>-686.99999638981797</c:v>
                </c:pt>
                <c:pt idx="8">
                  <c:v>-686.999996205809</c:v>
                </c:pt>
                <c:pt idx="9">
                  <c:v>-686.99999602179503</c:v>
                </c:pt>
                <c:pt idx="10">
                  <c:v>-686.99999589911795</c:v>
                </c:pt>
                <c:pt idx="11">
                  <c:v>-686.99999534707695</c:v>
                </c:pt>
                <c:pt idx="12">
                  <c:v>-686.99999522440498</c:v>
                </c:pt>
                <c:pt idx="13">
                  <c:v>-686.99999491771405</c:v>
                </c:pt>
                <c:pt idx="14">
                  <c:v>-686.999994120319</c:v>
                </c:pt>
                <c:pt idx="15">
                  <c:v>-686.99999399764602</c:v>
                </c:pt>
                <c:pt idx="16">
                  <c:v>-686.99999393631504</c:v>
                </c:pt>
                <c:pt idx="17">
                  <c:v>-686.99999375229697</c:v>
                </c:pt>
                <c:pt idx="18">
                  <c:v>-686.99999338427006</c:v>
                </c:pt>
                <c:pt idx="19">
                  <c:v>-686.99999283223406</c:v>
                </c:pt>
                <c:pt idx="20">
                  <c:v>-686.99999228018896</c:v>
                </c:pt>
                <c:pt idx="21">
                  <c:v>-686.99999191216602</c:v>
                </c:pt>
                <c:pt idx="22">
                  <c:v>-686.99999154413899</c:v>
                </c:pt>
                <c:pt idx="23">
                  <c:v>-686.99999123744794</c:v>
                </c:pt>
                <c:pt idx="24">
                  <c:v>-686.99999123745295</c:v>
                </c:pt>
                <c:pt idx="25">
                  <c:v>-686.99999136012502</c:v>
                </c:pt>
                <c:pt idx="26">
                  <c:v>-686.99999123744794</c:v>
                </c:pt>
                <c:pt idx="27">
                  <c:v>-686.99999086942103</c:v>
                </c:pt>
                <c:pt idx="28">
                  <c:v>-686.99999062407096</c:v>
                </c:pt>
                <c:pt idx="29">
                  <c:v>-686.99999037872203</c:v>
                </c:pt>
                <c:pt idx="30">
                  <c:v>-686.99999019470795</c:v>
                </c:pt>
                <c:pt idx="31">
                  <c:v>-686.99998988802201</c:v>
                </c:pt>
                <c:pt idx="32">
                  <c:v>-686.99998951999498</c:v>
                </c:pt>
                <c:pt idx="33">
                  <c:v>-686.99998902929099</c:v>
                </c:pt>
                <c:pt idx="34">
                  <c:v>-686.99998866126396</c:v>
                </c:pt>
                <c:pt idx="35">
                  <c:v>-686.99998884527702</c:v>
                </c:pt>
                <c:pt idx="36">
                  <c:v>-686.999988415914</c:v>
                </c:pt>
                <c:pt idx="37">
                  <c:v>-686.999987863878</c:v>
                </c:pt>
                <c:pt idx="38">
                  <c:v>-686.99998774120104</c:v>
                </c:pt>
                <c:pt idx="39">
                  <c:v>-686.99998731183302</c:v>
                </c:pt>
                <c:pt idx="40">
                  <c:v>-686.99998700514698</c:v>
                </c:pt>
                <c:pt idx="41">
                  <c:v>-686.99998645310598</c:v>
                </c:pt>
                <c:pt idx="42">
                  <c:v>-686.99998583972899</c:v>
                </c:pt>
                <c:pt idx="43">
                  <c:v>-686.99998571705601</c:v>
                </c:pt>
                <c:pt idx="44">
                  <c:v>-686.99998541036598</c:v>
                </c:pt>
                <c:pt idx="45">
                  <c:v>-686.99998504233895</c:v>
                </c:pt>
                <c:pt idx="46">
                  <c:v>-686.99998461297503</c:v>
                </c:pt>
                <c:pt idx="47">
                  <c:v>-686.99998418360701</c:v>
                </c:pt>
                <c:pt idx="48">
                  <c:v>-686.99998412227103</c:v>
                </c:pt>
                <c:pt idx="49">
                  <c:v>-686.99998399959895</c:v>
                </c:pt>
                <c:pt idx="50">
                  <c:v>-686.99998381558498</c:v>
                </c:pt>
                <c:pt idx="51">
                  <c:v>-686.99998350889405</c:v>
                </c:pt>
                <c:pt idx="52">
                  <c:v>-686.99998326354398</c:v>
                </c:pt>
                <c:pt idx="53">
                  <c:v>-686.99998332488099</c:v>
                </c:pt>
                <c:pt idx="54">
                  <c:v>-686.99998307953103</c:v>
                </c:pt>
                <c:pt idx="55">
                  <c:v>-686.99998277284499</c:v>
                </c:pt>
                <c:pt idx="56">
                  <c:v>-686.99998258882704</c:v>
                </c:pt>
                <c:pt idx="57">
                  <c:v>-686.99998234347697</c:v>
                </c:pt>
                <c:pt idx="58">
                  <c:v>-686.99998203679104</c:v>
                </c:pt>
                <c:pt idx="59">
                  <c:v>-686.99998166876401</c:v>
                </c:pt>
                <c:pt idx="60">
                  <c:v>-686.99998130073698</c:v>
                </c:pt>
                <c:pt idx="61">
                  <c:v>-686.99998111672301</c:v>
                </c:pt>
                <c:pt idx="62">
                  <c:v>-686.99998081003503</c:v>
                </c:pt>
                <c:pt idx="63">
                  <c:v>-686.99998025799596</c:v>
                </c:pt>
                <c:pt idx="64">
                  <c:v>-686.99997988996904</c:v>
                </c:pt>
                <c:pt idx="65">
                  <c:v>-686.99997964461704</c:v>
                </c:pt>
                <c:pt idx="66">
                  <c:v>-686.88351517088404</c:v>
                </c:pt>
                <c:pt idx="67">
                  <c:v>-686.52751990784498</c:v>
                </c:pt>
                <c:pt idx="68">
                  <c:v>-685.91924253762204</c:v>
                </c:pt>
                <c:pt idx="69">
                  <c:v>-685.04683702599095</c:v>
                </c:pt>
                <c:pt idx="70">
                  <c:v>-683.89936397178803</c:v>
                </c:pt>
                <c:pt idx="71">
                  <c:v>-682.46678888946894</c:v>
                </c:pt>
                <c:pt idx="72">
                  <c:v>-680.73998331318501</c:v>
                </c:pt>
                <c:pt idx="73">
                  <c:v>-678.71072565551401</c:v>
                </c:pt>
                <c:pt idx="74">
                  <c:v>-676.37169961266795</c:v>
                </c:pt>
                <c:pt idx="75">
                  <c:v>-673.71649502323396</c:v>
                </c:pt>
                <c:pt idx="76">
                  <c:v>-670.83251104549595</c:v>
                </c:pt>
                <c:pt idx="77">
                  <c:v>-667.84515752589095</c:v>
                </c:pt>
                <c:pt idx="78">
                  <c:v>-664.78943420580799</c:v>
                </c:pt>
                <c:pt idx="79">
                  <c:v>-661.66527876611303</c:v>
                </c:pt>
                <c:pt idx="80">
                  <c:v>-658.47263354933102</c:v>
                </c:pt>
                <c:pt idx="81">
                  <c:v>-655.21144592768405</c:v>
                </c:pt>
                <c:pt idx="82">
                  <c:v>-651.88166762837398</c:v>
                </c:pt>
                <c:pt idx="83">
                  <c:v>-648.48325436555797</c:v>
                </c:pt>
                <c:pt idx="84">
                  <c:v>-645.01616596301506</c:v>
                </c:pt>
                <c:pt idx="85">
                  <c:v>-641.48036684485896</c:v>
                </c:pt>
                <c:pt idx="86">
                  <c:v>-637.87582585152597</c:v>
                </c:pt>
                <c:pt idx="87">
                  <c:v>-634.20251538103105</c:v>
                </c:pt>
                <c:pt idx="88">
                  <c:v>-630.46041252372697</c:v>
                </c:pt>
                <c:pt idx="89">
                  <c:v>-626.649497958231</c:v>
                </c:pt>
                <c:pt idx="90">
                  <c:v>-622.76975610475802</c:v>
                </c:pt>
                <c:pt idx="91">
                  <c:v>-618.82117533980295</c:v>
                </c:pt>
                <c:pt idx="92">
                  <c:v>-614.80374781214095</c:v>
                </c:pt>
                <c:pt idx="93">
                  <c:v>-610.71746978016699</c:v>
                </c:pt>
                <c:pt idx="94">
                  <c:v>-606.56234072251198</c:v>
                </c:pt>
                <c:pt idx="95">
                  <c:v>-602.33836376739805</c:v>
                </c:pt>
                <c:pt idx="96">
                  <c:v>-598.04554550863395</c:v>
                </c:pt>
                <c:pt idx="97">
                  <c:v>-593.68389628162902</c:v>
                </c:pt>
                <c:pt idx="98">
                  <c:v>-589.25342939666996</c:v>
                </c:pt>
                <c:pt idx="99">
                  <c:v>-584.754161476283</c:v>
                </c:pt>
                <c:pt idx="100">
                  <c:v>-580.18611257790894</c:v>
                </c:pt>
                <c:pt idx="101">
                  <c:v>-575.54930582587394</c:v>
                </c:pt>
                <c:pt idx="102">
                  <c:v>-570.84376759540305</c:v>
                </c:pt>
                <c:pt idx="103">
                  <c:v>-566.069527083259</c:v>
                </c:pt>
                <c:pt idx="104">
                  <c:v>-561.226616246405</c:v>
                </c:pt>
                <c:pt idx="105">
                  <c:v>-556.31507023135896</c:v>
                </c:pt>
                <c:pt idx="106">
                  <c:v>-551.33492740487702</c:v>
                </c:pt>
                <c:pt idx="107">
                  <c:v>-546.28622846454903</c:v>
                </c:pt>
                <c:pt idx="108">
                  <c:v>-541.16901604009797</c:v>
                </c:pt>
                <c:pt idx="109">
                  <c:v>-535.98333631883895</c:v>
                </c:pt>
                <c:pt idx="110">
                  <c:v>-530.72923788026003</c:v>
                </c:pt>
                <c:pt idx="111">
                  <c:v>-525.406771450669</c:v>
                </c:pt>
                <c:pt idx="112">
                  <c:v>-520.01599057790895</c:v>
                </c:pt>
                <c:pt idx="113">
                  <c:v>-514.55695064995302</c:v>
                </c:pt>
                <c:pt idx="114">
                  <c:v>-509.02970978430898</c:v>
                </c:pt>
                <c:pt idx="115">
                  <c:v>-503.43432803061899</c:v>
                </c:pt>
                <c:pt idx="116">
                  <c:v>-497.77086727865799</c:v>
                </c:pt>
                <c:pt idx="117">
                  <c:v>-492.05539583770599</c:v>
                </c:pt>
                <c:pt idx="118">
                  <c:v>-486.31513772572703</c:v>
                </c:pt>
                <c:pt idx="119">
                  <c:v>-480.56210461950798</c:v>
                </c:pt>
                <c:pt idx="120">
                  <c:v>-474.797949387014</c:v>
                </c:pt>
                <c:pt idx="121">
                  <c:v>-469.02433326881197</c:v>
                </c:pt>
                <c:pt idx="122">
                  <c:v>-463.242925172686</c:v>
                </c:pt>
                <c:pt idx="123">
                  <c:v>-457.45540139761601</c:v>
                </c:pt>
                <c:pt idx="124">
                  <c:v>-451.66344600180599</c:v>
                </c:pt>
                <c:pt idx="125">
                  <c:v>-445.868750066632</c:v>
                </c:pt>
                <c:pt idx="126">
                  <c:v>-440.09381512577301</c:v>
                </c:pt>
                <c:pt idx="127">
                  <c:v>-434.36009751789601</c:v>
                </c:pt>
                <c:pt idx="128">
                  <c:v>-428.66785427878102</c:v>
                </c:pt>
                <c:pt idx="129">
                  <c:v>-423.01799253220202</c:v>
                </c:pt>
                <c:pt idx="130">
                  <c:v>-417.41141412688802</c:v>
                </c:pt>
                <c:pt idx="131">
                  <c:v>-411.84901566719202</c:v>
                </c:pt>
                <c:pt idx="132">
                  <c:v>-406.331687869044</c:v>
                </c:pt>
                <c:pt idx="133">
                  <c:v>-400.860316019984</c:v>
                </c:pt>
                <c:pt idx="134">
                  <c:v>-395.435779335115</c:v>
                </c:pt>
                <c:pt idx="135">
                  <c:v>-390.05895138647202</c:v>
                </c:pt>
                <c:pt idx="136">
                  <c:v>-384.73070004167698</c:v>
                </c:pt>
                <c:pt idx="137">
                  <c:v>-379.45188651320899</c:v>
                </c:pt>
                <c:pt idx="138">
                  <c:v>-374.22336643181302</c:v>
                </c:pt>
                <c:pt idx="139">
                  <c:v>-369.04598953981201</c:v>
                </c:pt>
                <c:pt idx="140">
                  <c:v>-363.920599108396</c:v>
                </c:pt>
                <c:pt idx="141">
                  <c:v>-358.84803221364501</c:v>
                </c:pt>
                <c:pt idx="142">
                  <c:v>-353.82911953718201</c:v>
                </c:pt>
                <c:pt idx="143">
                  <c:v>-348.86468524349101</c:v>
                </c:pt>
                <c:pt idx="144">
                  <c:v>-343.955547424624</c:v>
                </c:pt>
                <c:pt idx="145">
                  <c:v>-339.102517517487</c:v>
                </c:pt>
                <c:pt idx="146">
                  <c:v>-334.30640015049801</c:v>
                </c:pt>
                <c:pt idx="147">
                  <c:v>-329.56799363428701</c:v>
                </c:pt>
                <c:pt idx="148">
                  <c:v>-324.88808950166703</c:v>
                </c:pt>
                <c:pt idx="149">
                  <c:v>-320.26747249229402</c:v>
                </c:pt>
                <c:pt idx="150">
                  <c:v>-315.70692050666599</c:v>
                </c:pt>
                <c:pt idx="151">
                  <c:v>-311.20720471346698</c:v>
                </c:pt>
                <c:pt idx="152">
                  <c:v>-306.76908908952998</c:v>
                </c:pt>
                <c:pt idx="153">
                  <c:v>-302.39333094121002</c:v>
                </c:pt>
                <c:pt idx="154">
                  <c:v>-298.08068064369797</c:v>
                </c:pt>
                <c:pt idx="155">
                  <c:v>-293.83188113498301</c:v>
                </c:pt>
                <c:pt idx="156">
                  <c:v>-289.64766843722401</c:v>
                </c:pt>
                <c:pt idx="157">
                  <c:v>-285.52877133473203</c:v>
                </c:pt>
                <c:pt idx="158">
                  <c:v>-281.47591141996099</c:v>
                </c:pt>
                <c:pt idx="159">
                  <c:v>-277.48980320086201</c:v>
                </c:pt>
                <c:pt idx="160">
                  <c:v>-273.57115347216597</c:v>
                </c:pt>
                <c:pt idx="161">
                  <c:v>-269.72066182141498</c:v>
                </c:pt>
                <c:pt idx="162">
                  <c:v>-265.93902047562801</c:v>
                </c:pt>
                <c:pt idx="163">
                  <c:v>-262.22691402527403</c:v>
                </c:pt>
                <c:pt idx="164">
                  <c:v>-258.58501988430402</c:v>
                </c:pt>
                <c:pt idx="165">
                  <c:v>-255.014007584777</c:v>
                </c:pt>
                <c:pt idx="166">
                  <c:v>-251.51453893019001</c:v>
                </c:pt>
                <c:pt idx="167">
                  <c:v>-248.08726834818</c:v>
                </c:pt>
                <c:pt idx="168">
                  <c:v>-244.73284243049</c:v>
                </c:pt>
                <c:pt idx="169">
                  <c:v>-241.45190008630999</c:v>
                </c:pt>
                <c:pt idx="170">
                  <c:v>-238.24507243493699</c:v>
                </c:pt>
                <c:pt idx="171">
                  <c:v>-235.11298243774999</c:v>
                </c:pt>
                <c:pt idx="172">
                  <c:v>-232.05624545024801</c:v>
                </c:pt>
                <c:pt idx="173">
                  <c:v>-229.07546879268901</c:v>
                </c:pt>
                <c:pt idx="174">
                  <c:v>-226.17125173474901</c:v>
                </c:pt>
                <c:pt idx="175">
                  <c:v>-223.34418569487701</c:v>
                </c:pt>
                <c:pt idx="176">
                  <c:v>-220.59485378792701</c:v>
                </c:pt>
                <c:pt idx="177">
                  <c:v>-217.92383097849699</c:v>
                </c:pt>
                <c:pt idx="178">
                  <c:v>-215.33168414227501</c:v>
                </c:pt>
                <c:pt idx="179">
                  <c:v>-212.81897188968901</c:v>
                </c:pt>
                <c:pt idx="180">
                  <c:v>-210.38624448156401</c:v>
                </c:pt>
                <c:pt idx="181">
                  <c:v>-208.03404389046699</c:v>
                </c:pt>
                <c:pt idx="182">
                  <c:v>-205.76290367035901</c:v>
                </c:pt>
                <c:pt idx="183">
                  <c:v>-203.57334892593099</c:v>
                </c:pt>
                <c:pt idx="184">
                  <c:v>-201.465896235923</c:v>
                </c:pt>
                <c:pt idx="185">
                  <c:v>-199.44105364546999</c:v>
                </c:pt>
                <c:pt idx="186">
                  <c:v>-160.974169869376</c:v>
                </c:pt>
                <c:pt idx="187">
                  <c:v>-86.958642431279699</c:v>
                </c:pt>
                <c:pt idx="188">
                  <c:v>-14.9073088048271</c:v>
                </c:pt>
                <c:pt idx="189">
                  <c:v>54.991140639340301</c:v>
                </c:pt>
                <c:pt idx="190">
                  <c:v>122.549282200825</c:v>
                </c:pt>
                <c:pt idx="191">
                  <c:v>187.581946716716</c:v>
                </c:pt>
                <c:pt idx="192">
                  <c:v>249.90717391157801</c:v>
                </c:pt>
                <c:pt idx="193">
                  <c:v>309.34711863183702</c:v>
                </c:pt>
                <c:pt idx="194">
                  <c:v>365.72889617177702</c:v>
                </c:pt>
                <c:pt idx="195">
                  <c:v>418.88535569639203</c:v>
                </c:pt>
                <c:pt idx="196">
                  <c:v>468.65577244923202</c:v>
                </c:pt>
                <c:pt idx="197">
                  <c:v>514.88645235845797</c:v>
                </c:pt>
                <c:pt idx="198">
                  <c:v>557.43124392517905</c:v>
                </c:pt>
                <c:pt idx="199">
                  <c:v>596.15195530279595</c:v>
                </c:pt>
                <c:pt idx="200">
                  <c:v>630.91867684147996</c:v>
                </c:pt>
                <c:pt idx="201">
                  <c:v>661.61001033892899</c:v>
                </c:pt>
                <c:pt idx="202">
                  <c:v>688.11320892969195</c:v>
                </c:pt>
                <c:pt idx="203">
                  <c:v>710.32423272712401</c:v>
                </c:pt>
                <c:pt idx="204">
                  <c:v>728.147726430803</c:v>
                </c:pt>
                <c:pt idx="205">
                  <c:v>741.49692627825402</c:v>
                </c:pt>
                <c:pt idx="206">
                  <c:v>750.29350416145098</c:v>
                </c:pt>
                <c:pt idx="207">
                  <c:v>754.46735710408495</c:v>
                </c:pt>
                <c:pt idx="208">
                  <c:v>753.95635050335795</c:v>
                </c:pt>
                <c:pt idx="209">
                  <c:v>748.70602329398503</c:v>
                </c:pt>
                <c:pt idx="210">
                  <c:v>738.66926300087698</c:v>
                </c:pt>
                <c:pt idx="211">
                  <c:v>723.80595811770002</c:v>
                </c:pt>
                <c:pt idx="212">
                  <c:v>704.08263474058197</c:v>
                </c:pt>
                <c:pt idx="213">
                  <c:v>679.47208368762495</c:v>
                </c:pt>
                <c:pt idx="214">
                  <c:v>649.95298372898606</c:v>
                </c:pt>
                <c:pt idx="215">
                  <c:v>615.50952575332201</c:v>
                </c:pt>
                <c:pt idx="216">
                  <c:v>576.13104202622299</c:v>
                </c:pt>
                <c:pt idx="217">
                  <c:v>531.81164411738803</c:v>
                </c:pt>
                <c:pt idx="218">
                  <c:v>482.54987209861599</c:v>
                </c:pt>
                <c:pt idx="219">
                  <c:v>428.34835741819302</c:v>
                </c:pt>
                <c:pt idx="220">
                  <c:v>369.21350110587599</c:v>
                </c:pt>
                <c:pt idx="221">
                  <c:v>305.15516833589101</c:v>
                </c:pt>
                <c:pt idx="222">
                  <c:v>236.18640019707601</c:v>
                </c:pt>
                <c:pt idx="223">
                  <c:v>162.32314308612601</c:v>
                </c:pt>
                <c:pt idx="224">
                  <c:v>83.594661773479302</c:v>
                </c:pt>
                <c:pt idx="225">
                  <c:v>2.4438673376771298</c:v>
                </c:pt>
              </c:numCache>
            </c:numRef>
          </c:xVal>
          <c:yVal>
            <c:numRef>
              <c:f>LC06_ALS!$Z$66:$Z$300</c:f>
              <c:numCache>
                <c:formatCode>0.00</c:formatCode>
                <c:ptCount val="235"/>
                <c:pt idx="0">
                  <c:v>1.2</c:v>
                </c:pt>
                <c:pt idx="1">
                  <c:v>1.0999999999999901</c:v>
                </c:pt>
                <c:pt idx="2">
                  <c:v>0.999999999999999</c:v>
                </c:pt>
                <c:pt idx="3">
                  <c:v>0.89999999999999902</c:v>
                </c:pt>
                <c:pt idx="4">
                  <c:v>0.79999999999999905</c:v>
                </c:pt>
                <c:pt idx="5">
                  <c:v>0.69999999999999896</c:v>
                </c:pt>
                <c:pt idx="6">
                  <c:v>0.59999999999999898</c:v>
                </c:pt>
                <c:pt idx="7">
                  <c:v>0.499999999999999</c:v>
                </c:pt>
                <c:pt idx="8">
                  <c:v>0.39999999999999902</c:v>
                </c:pt>
                <c:pt idx="9">
                  <c:v>0.29999999999999899</c:v>
                </c:pt>
                <c:pt idx="10">
                  <c:v>0.19999999999999901</c:v>
                </c:pt>
                <c:pt idx="11">
                  <c:v>9.9999999999998895E-2</c:v>
                </c:pt>
                <c:pt idx="12">
                  <c:v>-1.11022302462515E-15</c:v>
                </c:pt>
                <c:pt idx="13">
                  <c:v>-0.100000000000001</c:v>
                </c:pt>
                <c:pt idx="14">
                  <c:v>-0.20000000000000101</c:v>
                </c:pt>
                <c:pt idx="15">
                  <c:v>-0.30000000000000099</c:v>
                </c:pt>
                <c:pt idx="16">
                  <c:v>-0.40000000000000102</c:v>
                </c:pt>
                <c:pt idx="17">
                  <c:v>-0.500000000000001</c:v>
                </c:pt>
                <c:pt idx="18">
                  <c:v>-0.60000000000000098</c:v>
                </c:pt>
                <c:pt idx="19">
                  <c:v>-0.70000000000000095</c:v>
                </c:pt>
                <c:pt idx="20">
                  <c:v>-0.80000000000000104</c:v>
                </c:pt>
                <c:pt idx="21">
                  <c:v>-0.90000000000000102</c:v>
                </c:pt>
                <c:pt idx="22">
                  <c:v>-1</c:v>
                </c:pt>
                <c:pt idx="23">
                  <c:v>-1.1000000000000001</c:v>
                </c:pt>
                <c:pt idx="24">
                  <c:v>-1.2</c:v>
                </c:pt>
                <c:pt idx="25">
                  <c:v>-1.3</c:v>
                </c:pt>
                <c:pt idx="26">
                  <c:v>-1.4</c:v>
                </c:pt>
                <c:pt idx="27">
                  <c:v>-1.5</c:v>
                </c:pt>
                <c:pt idx="28">
                  <c:v>-1.6</c:v>
                </c:pt>
                <c:pt idx="29">
                  <c:v>-1.7</c:v>
                </c:pt>
                <c:pt idx="30">
                  <c:v>-1.8</c:v>
                </c:pt>
                <c:pt idx="31">
                  <c:v>-1.9</c:v>
                </c:pt>
                <c:pt idx="32">
                  <c:v>-2</c:v>
                </c:pt>
                <c:pt idx="33">
                  <c:v>-2.1</c:v>
                </c:pt>
                <c:pt idx="34">
                  <c:v>-2.2000000000000002</c:v>
                </c:pt>
                <c:pt idx="35">
                  <c:v>-2.2999999999999998</c:v>
                </c:pt>
                <c:pt idx="36">
                  <c:v>-2.4</c:v>
                </c:pt>
                <c:pt idx="37">
                  <c:v>-2.5</c:v>
                </c:pt>
                <c:pt idx="38">
                  <c:v>-2.6</c:v>
                </c:pt>
                <c:pt idx="39">
                  <c:v>-2.7</c:v>
                </c:pt>
                <c:pt idx="40">
                  <c:v>-2.8</c:v>
                </c:pt>
                <c:pt idx="41">
                  <c:v>-2.9</c:v>
                </c:pt>
                <c:pt idx="42">
                  <c:v>-3</c:v>
                </c:pt>
                <c:pt idx="43">
                  <c:v>-3.1</c:v>
                </c:pt>
                <c:pt idx="44">
                  <c:v>-3.2</c:v>
                </c:pt>
                <c:pt idx="45">
                  <c:v>-3.3</c:v>
                </c:pt>
                <c:pt idx="46">
                  <c:v>-3.4</c:v>
                </c:pt>
                <c:pt idx="47">
                  <c:v>-3.5</c:v>
                </c:pt>
                <c:pt idx="48">
                  <c:v>-3.6</c:v>
                </c:pt>
                <c:pt idx="49">
                  <c:v>-3.7</c:v>
                </c:pt>
                <c:pt idx="50">
                  <c:v>-3.8</c:v>
                </c:pt>
                <c:pt idx="51">
                  <c:v>-3.9</c:v>
                </c:pt>
                <c:pt idx="52">
                  <c:v>-4</c:v>
                </c:pt>
                <c:pt idx="53">
                  <c:v>-4.0999999999999996</c:v>
                </c:pt>
                <c:pt idx="54">
                  <c:v>-4.2</c:v>
                </c:pt>
                <c:pt idx="55">
                  <c:v>-4.3</c:v>
                </c:pt>
                <c:pt idx="56">
                  <c:v>-4.4000000000000004</c:v>
                </c:pt>
                <c:pt idx="57">
                  <c:v>-4.5</c:v>
                </c:pt>
                <c:pt idx="58">
                  <c:v>-4.5999999999999996</c:v>
                </c:pt>
                <c:pt idx="59">
                  <c:v>-4.7</c:v>
                </c:pt>
                <c:pt idx="60">
                  <c:v>-4.8</c:v>
                </c:pt>
                <c:pt idx="61">
                  <c:v>-4.9000000000000004</c:v>
                </c:pt>
                <c:pt idx="62">
                  <c:v>-5</c:v>
                </c:pt>
                <c:pt idx="63">
                  <c:v>-5.0999999999999996</c:v>
                </c:pt>
                <c:pt idx="64">
                  <c:v>-5.2</c:v>
                </c:pt>
                <c:pt idx="65">
                  <c:v>-5.3</c:v>
                </c:pt>
                <c:pt idx="66">
                  <c:v>-5.4</c:v>
                </c:pt>
                <c:pt idx="67">
                  <c:v>-5.5</c:v>
                </c:pt>
                <c:pt idx="68">
                  <c:v>-5.6</c:v>
                </c:pt>
                <c:pt idx="69">
                  <c:v>-5.7</c:v>
                </c:pt>
                <c:pt idx="70">
                  <c:v>-5.8</c:v>
                </c:pt>
                <c:pt idx="71">
                  <c:v>-5.9</c:v>
                </c:pt>
                <c:pt idx="72">
                  <c:v>-6</c:v>
                </c:pt>
                <c:pt idx="73">
                  <c:v>-6.1</c:v>
                </c:pt>
                <c:pt idx="74">
                  <c:v>-6.2</c:v>
                </c:pt>
                <c:pt idx="75">
                  <c:v>-6.3</c:v>
                </c:pt>
                <c:pt idx="76">
                  <c:v>-6.4</c:v>
                </c:pt>
                <c:pt idx="77">
                  <c:v>-6.5</c:v>
                </c:pt>
                <c:pt idx="78">
                  <c:v>-6.6</c:v>
                </c:pt>
                <c:pt idx="79">
                  <c:v>-6.7</c:v>
                </c:pt>
                <c:pt idx="80">
                  <c:v>-6.8</c:v>
                </c:pt>
                <c:pt idx="81">
                  <c:v>-6.9</c:v>
                </c:pt>
                <c:pt idx="82">
                  <c:v>-7</c:v>
                </c:pt>
                <c:pt idx="83">
                  <c:v>-7.1</c:v>
                </c:pt>
                <c:pt idx="84">
                  <c:v>-7.2</c:v>
                </c:pt>
                <c:pt idx="85">
                  <c:v>-7.3</c:v>
                </c:pt>
                <c:pt idx="86">
                  <c:v>-7.4</c:v>
                </c:pt>
                <c:pt idx="87">
                  <c:v>-7.5</c:v>
                </c:pt>
                <c:pt idx="88">
                  <c:v>-7.6</c:v>
                </c:pt>
                <c:pt idx="89">
                  <c:v>-7.7</c:v>
                </c:pt>
                <c:pt idx="90">
                  <c:v>-7.8</c:v>
                </c:pt>
                <c:pt idx="91">
                  <c:v>-7.9</c:v>
                </c:pt>
                <c:pt idx="92">
                  <c:v>-8</c:v>
                </c:pt>
                <c:pt idx="93">
                  <c:v>-8.1</c:v>
                </c:pt>
                <c:pt idx="94">
                  <c:v>-8.2000000000000099</c:v>
                </c:pt>
                <c:pt idx="95">
                  <c:v>-8.3000000000000096</c:v>
                </c:pt>
                <c:pt idx="96">
                  <c:v>-8.4000000000000092</c:v>
                </c:pt>
                <c:pt idx="97">
                  <c:v>-8.5</c:v>
                </c:pt>
                <c:pt idx="98">
                  <c:v>-8.6</c:v>
                </c:pt>
                <c:pt idx="99">
                  <c:v>-8.7000000000000099</c:v>
                </c:pt>
                <c:pt idx="100">
                  <c:v>-8.8000000000000096</c:v>
                </c:pt>
                <c:pt idx="101">
                  <c:v>-8.9000000000000092</c:v>
                </c:pt>
                <c:pt idx="102">
                  <c:v>-9.0000000000000107</c:v>
                </c:pt>
                <c:pt idx="103">
                  <c:v>-9.1000000000000103</c:v>
                </c:pt>
                <c:pt idx="104">
                  <c:v>-9.2000000000000099</c:v>
                </c:pt>
                <c:pt idx="105">
                  <c:v>-9.3000000000000096</c:v>
                </c:pt>
                <c:pt idx="106">
                  <c:v>-9.4000000000000092</c:v>
                </c:pt>
                <c:pt idx="107">
                  <c:v>-9.5000000000000107</c:v>
                </c:pt>
                <c:pt idx="108">
                  <c:v>-9.6000000000000103</c:v>
                </c:pt>
                <c:pt idx="109">
                  <c:v>-9.7000000000000099</c:v>
                </c:pt>
                <c:pt idx="110">
                  <c:v>-9.8000000000000096</c:v>
                </c:pt>
                <c:pt idx="111">
                  <c:v>-9.9000000000000092</c:v>
                </c:pt>
                <c:pt idx="112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A1-4601-BCE7-46BC88CBC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03855"/>
        <c:axId val="1910445519"/>
      </c:scatterChart>
      <c:valAx>
        <c:axId val="1959703855"/>
        <c:scaling>
          <c:orientation val="minMax"/>
          <c:max val="1000"/>
          <c:min val="-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Lateral</a:t>
                </a:r>
                <a:r>
                  <a:rPr lang="en-GB" baseline="0"/>
                  <a:t> force, F</a:t>
                </a:r>
                <a:r>
                  <a:rPr lang="en-GB" sz="700" baseline="0"/>
                  <a:t>lat</a:t>
                </a:r>
                <a:r>
                  <a:rPr lang="en-GB" baseline="0"/>
                  <a:t> [kN]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6251211461302701"/>
              <c:y val="6.52599113195523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in"/>
        <c:minorTickMark val="in"/>
        <c:tickLblPos val="high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5519"/>
        <c:crossesAt val="2"/>
        <c:crossBetween val="midCat"/>
      </c:valAx>
      <c:valAx>
        <c:axId val="1910445519"/>
        <c:scaling>
          <c:orientation val="minMax"/>
          <c:max val="2"/>
          <c:min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Z-level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03855"/>
        <c:crossesAt val="-2000"/>
        <c:crossBetween val="midCat"/>
        <c:majorUnit val="2"/>
        <c:minorUnit val="0.5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980646305891684"/>
          <c:y val="0.78593071819119975"/>
          <c:w val="0.15975822544114929"/>
          <c:h val="0.1824556396989363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LC06_ALS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47299131765144"/>
          <c:y val="0.1405222144354106"/>
          <c:w val="0.8231214189706052"/>
          <c:h val="0.800005352271453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LC06_ALS!$A$4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LC06_ALS!$N$4:$N$34</c:f>
              <c:numCache>
                <c:formatCode>0.00</c:formatCode>
                <c:ptCount val="31"/>
                <c:pt idx="0">
                  <c:v>200</c:v>
                </c:pt>
                <c:pt idx="1">
                  <c:v>197</c:v>
                </c:pt>
                <c:pt idx="2">
                  <c:v>194</c:v>
                </c:pt>
                <c:pt idx="3">
                  <c:v>191</c:v>
                </c:pt>
                <c:pt idx="4">
                  <c:v>188</c:v>
                </c:pt>
                <c:pt idx="5">
                  <c:v>185</c:v>
                </c:pt>
                <c:pt idx="6">
                  <c:v>182</c:v>
                </c:pt>
                <c:pt idx="7">
                  <c:v>179</c:v>
                </c:pt>
                <c:pt idx="8">
                  <c:v>176</c:v>
                </c:pt>
                <c:pt idx="9">
                  <c:v>174</c:v>
                </c:pt>
                <c:pt idx="10">
                  <c:v>170</c:v>
                </c:pt>
                <c:pt idx="11">
                  <c:v>167</c:v>
                </c:pt>
                <c:pt idx="12">
                  <c:v>164</c:v>
                </c:pt>
                <c:pt idx="13">
                  <c:v>159</c:v>
                </c:pt>
                <c:pt idx="14">
                  <c:v>154</c:v>
                </c:pt>
                <c:pt idx="15">
                  <c:v>148</c:v>
                </c:pt>
                <c:pt idx="16">
                  <c:v>142</c:v>
                </c:pt>
                <c:pt idx="17">
                  <c:v>136</c:v>
                </c:pt>
                <c:pt idx="18">
                  <c:v>128</c:v>
                </c:pt>
                <c:pt idx="19">
                  <c:v>120</c:v>
                </c:pt>
                <c:pt idx="20">
                  <c:v>112</c:v>
                </c:pt>
                <c:pt idx="21">
                  <c:v>104</c:v>
                </c:pt>
                <c:pt idx="22">
                  <c:v>95</c:v>
                </c:pt>
                <c:pt idx="23">
                  <c:v>86.1</c:v>
                </c:pt>
                <c:pt idx="24">
                  <c:v>77.099999999999994</c:v>
                </c:pt>
                <c:pt idx="25">
                  <c:v>65.099999999999994</c:v>
                </c:pt>
                <c:pt idx="26">
                  <c:v>49.2</c:v>
                </c:pt>
                <c:pt idx="27">
                  <c:v>32.6</c:v>
                </c:pt>
                <c:pt idx="28">
                  <c:v>21.8</c:v>
                </c:pt>
                <c:pt idx="29">
                  <c:v>11</c:v>
                </c:pt>
                <c:pt idx="30">
                  <c:v>0</c:v>
                </c:pt>
              </c:numCache>
            </c:numRef>
          </c:xVal>
          <c:yVal>
            <c:numRef>
              <c:f>LC06_ALS!$E$4:$E$34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2C-4750-919C-552684F2DB2B}"/>
            </c:ext>
          </c:extLst>
        </c:ser>
        <c:ser>
          <c:idx val="1"/>
          <c:order val="1"/>
          <c:tx>
            <c:strRef>
              <c:f>LC06_ALS!$A$35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LC06_ALS!$O$35:$O$65</c:f>
              <c:numCache>
                <c:formatCode>0.00</c:formatCode>
                <c:ptCount val="31"/>
                <c:pt idx="0">
                  <c:v>0.53</c:v>
                </c:pt>
                <c:pt idx="1">
                  <c:v>0.496</c:v>
                </c:pt>
                <c:pt idx="2">
                  <c:v>0.46200000000000002</c:v>
                </c:pt>
                <c:pt idx="3">
                  <c:v>0.42799999999999999</c:v>
                </c:pt>
                <c:pt idx="4">
                  <c:v>0.39400000000000002</c:v>
                </c:pt>
                <c:pt idx="5">
                  <c:v>0.35899999999999999</c:v>
                </c:pt>
                <c:pt idx="6">
                  <c:v>0.32500000000000001</c:v>
                </c:pt>
                <c:pt idx="7">
                  <c:v>0.29099999999999998</c:v>
                </c:pt>
                <c:pt idx="8">
                  <c:v>0.25700000000000001</c:v>
                </c:pt>
                <c:pt idx="9">
                  <c:v>0.22700000000000001</c:v>
                </c:pt>
                <c:pt idx="10">
                  <c:v>0.19800000000000001</c:v>
                </c:pt>
                <c:pt idx="11">
                  <c:v>0.17599999999999999</c:v>
                </c:pt>
                <c:pt idx="12">
                  <c:v>0.155</c:v>
                </c:pt>
                <c:pt idx="13">
                  <c:v>0.129</c:v>
                </c:pt>
                <c:pt idx="14">
                  <c:v>0.104</c:v>
                </c:pt>
                <c:pt idx="15">
                  <c:v>0.08</c:v>
                </c:pt>
                <c:pt idx="16">
                  <c:v>5.7000000000000002E-2</c:v>
                </c:pt>
                <c:pt idx="17">
                  <c:v>3.6999999999999998E-2</c:v>
                </c:pt>
                <c:pt idx="18">
                  <c:v>4.2000000000000003E-2</c:v>
                </c:pt>
                <c:pt idx="19">
                  <c:v>0.06</c:v>
                </c:pt>
                <c:pt idx="20">
                  <c:v>7.5999999999999998E-2</c:v>
                </c:pt>
                <c:pt idx="21">
                  <c:v>0.09</c:v>
                </c:pt>
                <c:pt idx="22">
                  <c:v>0.10199999999999999</c:v>
                </c:pt>
                <c:pt idx="23">
                  <c:v>0.112</c:v>
                </c:pt>
                <c:pt idx="24">
                  <c:v>0.121</c:v>
                </c:pt>
                <c:pt idx="25">
                  <c:v>0.122</c:v>
                </c:pt>
                <c:pt idx="26">
                  <c:v>0.10100000000000001</c:v>
                </c:pt>
                <c:pt idx="27">
                  <c:v>6.6000000000000003E-2</c:v>
                </c:pt>
                <c:pt idx="28">
                  <c:v>4.3999999999999997E-2</c:v>
                </c:pt>
                <c:pt idx="29">
                  <c:v>2.7E-2</c:v>
                </c:pt>
                <c:pt idx="30">
                  <c:v>2.1000000000000001E-2</c:v>
                </c:pt>
              </c:numCache>
            </c:numRef>
          </c:xVal>
          <c:yVal>
            <c:numRef>
              <c:f>LC06_ALS!$E$35:$E$65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2C-4750-919C-552684F2DB2B}"/>
            </c:ext>
          </c:extLst>
        </c:ser>
        <c:ser>
          <c:idx val="2"/>
          <c:order val="2"/>
          <c:tx>
            <c:strRef>
              <c:f>LC06_ALS!$A$66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LC06_ALS!$N$66:$N$96</c:f>
              <c:numCache>
                <c:formatCode>0.00</c:formatCode>
                <c:ptCount val="31"/>
                <c:pt idx="0">
                  <c:v>-1330</c:v>
                </c:pt>
                <c:pt idx="1">
                  <c:v>-1340</c:v>
                </c:pt>
                <c:pt idx="2">
                  <c:v>-1340</c:v>
                </c:pt>
                <c:pt idx="3">
                  <c:v>-1340</c:v>
                </c:pt>
                <c:pt idx="4">
                  <c:v>-1340</c:v>
                </c:pt>
                <c:pt idx="5">
                  <c:v>-1350</c:v>
                </c:pt>
                <c:pt idx="6">
                  <c:v>-1350</c:v>
                </c:pt>
                <c:pt idx="7">
                  <c:v>-1350</c:v>
                </c:pt>
                <c:pt idx="8">
                  <c:v>-1360</c:v>
                </c:pt>
                <c:pt idx="9">
                  <c:v>-1360</c:v>
                </c:pt>
                <c:pt idx="10">
                  <c:v>-1360</c:v>
                </c:pt>
                <c:pt idx="11">
                  <c:v>-1360</c:v>
                </c:pt>
                <c:pt idx="12">
                  <c:v>-1350</c:v>
                </c:pt>
                <c:pt idx="13">
                  <c:v>-1340</c:v>
                </c:pt>
                <c:pt idx="14">
                  <c:v>-1330</c:v>
                </c:pt>
                <c:pt idx="15">
                  <c:v>-1320</c:v>
                </c:pt>
                <c:pt idx="16">
                  <c:v>-1310</c:v>
                </c:pt>
                <c:pt idx="17">
                  <c:v>-1290</c:v>
                </c:pt>
                <c:pt idx="18">
                  <c:v>-1270</c:v>
                </c:pt>
                <c:pt idx="19">
                  <c:v>-1250</c:v>
                </c:pt>
                <c:pt idx="20">
                  <c:v>-1230</c:v>
                </c:pt>
                <c:pt idx="21">
                  <c:v>-1210</c:v>
                </c:pt>
                <c:pt idx="22">
                  <c:v>-1190</c:v>
                </c:pt>
                <c:pt idx="23">
                  <c:v>-1160</c:v>
                </c:pt>
                <c:pt idx="24">
                  <c:v>-1140</c:v>
                </c:pt>
                <c:pt idx="25">
                  <c:v>-1110</c:v>
                </c:pt>
                <c:pt idx="26">
                  <c:v>-1060</c:v>
                </c:pt>
                <c:pt idx="27">
                  <c:v>-1010</c:v>
                </c:pt>
                <c:pt idx="28">
                  <c:v>-975</c:v>
                </c:pt>
                <c:pt idx="29">
                  <c:v>-942</c:v>
                </c:pt>
                <c:pt idx="30">
                  <c:v>-908</c:v>
                </c:pt>
              </c:numCache>
            </c:numRef>
          </c:xVal>
          <c:yVal>
            <c:numRef>
              <c:f>LC06_ALS!$E$66:$E$96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2C-4750-919C-552684F2DB2B}"/>
            </c:ext>
          </c:extLst>
        </c:ser>
        <c:ser>
          <c:idx val="3"/>
          <c:order val="3"/>
          <c:tx>
            <c:strRef>
              <c:f>LC06_ALS!$A$97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LC06_ALS!$N$97:$N$127</c:f>
              <c:numCache>
                <c:formatCode>0.00</c:formatCode>
                <c:ptCount val="31"/>
                <c:pt idx="0">
                  <c:v>-1720</c:v>
                </c:pt>
                <c:pt idx="1">
                  <c:v>-1720</c:v>
                </c:pt>
                <c:pt idx="2">
                  <c:v>-1730</c:v>
                </c:pt>
                <c:pt idx="3">
                  <c:v>-1730</c:v>
                </c:pt>
                <c:pt idx="4">
                  <c:v>-1730</c:v>
                </c:pt>
                <c:pt idx="5">
                  <c:v>-1740</c:v>
                </c:pt>
                <c:pt idx="6">
                  <c:v>-1740</c:v>
                </c:pt>
                <c:pt idx="7">
                  <c:v>-1740</c:v>
                </c:pt>
                <c:pt idx="8">
                  <c:v>-1740</c:v>
                </c:pt>
                <c:pt idx="9">
                  <c:v>-1750</c:v>
                </c:pt>
                <c:pt idx="10">
                  <c:v>-1750</c:v>
                </c:pt>
                <c:pt idx="11">
                  <c:v>-1740</c:v>
                </c:pt>
                <c:pt idx="12">
                  <c:v>-1730</c:v>
                </c:pt>
                <c:pt idx="13">
                  <c:v>-1720</c:v>
                </c:pt>
                <c:pt idx="14">
                  <c:v>-1700</c:v>
                </c:pt>
                <c:pt idx="15">
                  <c:v>-1690</c:v>
                </c:pt>
                <c:pt idx="16">
                  <c:v>-1670</c:v>
                </c:pt>
                <c:pt idx="17">
                  <c:v>-1640</c:v>
                </c:pt>
                <c:pt idx="18">
                  <c:v>-1610</c:v>
                </c:pt>
                <c:pt idx="19">
                  <c:v>-1590</c:v>
                </c:pt>
                <c:pt idx="20">
                  <c:v>-1550</c:v>
                </c:pt>
                <c:pt idx="21">
                  <c:v>-1520</c:v>
                </c:pt>
                <c:pt idx="22">
                  <c:v>-1490</c:v>
                </c:pt>
                <c:pt idx="23">
                  <c:v>-1450</c:v>
                </c:pt>
                <c:pt idx="24">
                  <c:v>-1410</c:v>
                </c:pt>
                <c:pt idx="25">
                  <c:v>-1370</c:v>
                </c:pt>
                <c:pt idx="26">
                  <c:v>-1330</c:v>
                </c:pt>
                <c:pt idx="27">
                  <c:v>-1280</c:v>
                </c:pt>
                <c:pt idx="28">
                  <c:v>-1240</c:v>
                </c:pt>
                <c:pt idx="29">
                  <c:v>-1210</c:v>
                </c:pt>
                <c:pt idx="30">
                  <c:v>-1180</c:v>
                </c:pt>
              </c:numCache>
            </c:numRef>
          </c:xVal>
          <c:yVal>
            <c:numRef>
              <c:f>LC06_ALS!$E$97:$E$127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2C-4750-919C-552684F2D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03855"/>
        <c:axId val="1910445519"/>
      </c:scatterChart>
      <c:valAx>
        <c:axId val="195970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Axial</a:t>
                </a:r>
                <a:r>
                  <a:rPr lang="en-GB" baseline="0"/>
                  <a:t> force, F</a:t>
                </a:r>
                <a:r>
                  <a:rPr lang="en-GB" sz="700" baseline="0"/>
                  <a:t>axial</a:t>
                </a:r>
                <a:r>
                  <a:rPr lang="en-GB" baseline="0"/>
                  <a:t> [kN]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6251211461302701"/>
              <c:y val="6.52599113195523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in"/>
        <c:minorTickMark val="in"/>
        <c:tickLblPos val="high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5519"/>
        <c:crossesAt val="2"/>
        <c:crossBetween val="midCat"/>
      </c:valAx>
      <c:valAx>
        <c:axId val="1910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Z-level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03855"/>
        <c:crossesAt val="-3000"/>
        <c:crossBetween val="midCat"/>
        <c:majorUnit val="2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10798724712094"/>
          <c:y val="0.78593071819119975"/>
          <c:w val="9.1610337972167014E-2"/>
          <c:h val="0.1433833380444472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LC06_ALS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47299131765144"/>
          <c:y val="0.1405222144354106"/>
          <c:w val="0.8231214189706052"/>
          <c:h val="0.800005352271453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LC06_ALS!$A$4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LC06_ALS!$O$4:$O$34</c:f>
              <c:numCache>
                <c:formatCode>0.00</c:formatCode>
                <c:ptCount val="31"/>
                <c:pt idx="0">
                  <c:v>0.496</c:v>
                </c:pt>
                <c:pt idx="1">
                  <c:v>0.46200000000000002</c:v>
                </c:pt>
                <c:pt idx="2">
                  <c:v>0.42799999999999999</c:v>
                </c:pt>
                <c:pt idx="3">
                  <c:v>0.39500000000000002</c:v>
                </c:pt>
                <c:pt idx="4">
                  <c:v>0.36099999999999999</c:v>
                </c:pt>
                <c:pt idx="5">
                  <c:v>0.32700000000000001</c:v>
                </c:pt>
                <c:pt idx="6">
                  <c:v>0.29299999999999998</c:v>
                </c:pt>
                <c:pt idx="7">
                  <c:v>0.25900000000000001</c:v>
                </c:pt>
                <c:pt idx="8">
                  <c:v>0.22500000000000001</c:v>
                </c:pt>
                <c:pt idx="9">
                  <c:v>0.19600000000000001</c:v>
                </c:pt>
                <c:pt idx="10">
                  <c:v>0.16700000000000001</c:v>
                </c:pt>
                <c:pt idx="11">
                  <c:v>0.14599999999999999</c:v>
                </c:pt>
                <c:pt idx="12">
                  <c:v>0.125</c:v>
                </c:pt>
                <c:pt idx="13">
                  <c:v>9.9000000000000005E-2</c:v>
                </c:pt>
                <c:pt idx="14">
                  <c:v>7.4999999999999997E-2</c:v>
                </c:pt>
                <c:pt idx="15">
                  <c:v>5.1999999999999998E-2</c:v>
                </c:pt>
                <c:pt idx="16">
                  <c:v>0.03</c:v>
                </c:pt>
                <c:pt idx="17">
                  <c:v>0.01</c:v>
                </c:pt>
                <c:pt idx="18">
                  <c:v>1.7000000000000001E-2</c:v>
                </c:pt>
                <c:pt idx="19">
                  <c:v>3.5000000000000003E-2</c:v>
                </c:pt>
                <c:pt idx="20">
                  <c:v>0.05</c:v>
                </c:pt>
                <c:pt idx="21">
                  <c:v>6.4000000000000001E-2</c:v>
                </c:pt>
                <c:pt idx="22">
                  <c:v>7.5999999999999998E-2</c:v>
                </c:pt>
                <c:pt idx="23">
                  <c:v>8.5999999999999993E-2</c:v>
                </c:pt>
                <c:pt idx="24">
                  <c:v>9.5000000000000001E-2</c:v>
                </c:pt>
                <c:pt idx="25">
                  <c:v>9.7000000000000003E-2</c:v>
                </c:pt>
                <c:pt idx="26">
                  <c:v>7.6999999999999999E-2</c:v>
                </c:pt>
                <c:pt idx="27">
                  <c:v>4.2999999999999997E-2</c:v>
                </c:pt>
                <c:pt idx="28">
                  <c:v>2.1999999999999999E-2</c:v>
                </c:pt>
                <c:pt idx="29">
                  <c:v>6.0000000000000001E-3</c:v>
                </c:pt>
                <c:pt idx="30">
                  <c:v>0</c:v>
                </c:pt>
              </c:numCache>
            </c:numRef>
          </c:xVal>
          <c:yVal>
            <c:numRef>
              <c:f>LC06_ALS!$E$4:$E$34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5D-4891-BB48-06E73467AF76}"/>
            </c:ext>
          </c:extLst>
        </c:ser>
        <c:ser>
          <c:idx val="1"/>
          <c:order val="1"/>
          <c:tx>
            <c:strRef>
              <c:f>LC06_ALS!$A$35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LC06_ALS!$O$35:$O$65</c:f>
              <c:numCache>
                <c:formatCode>0.00</c:formatCode>
                <c:ptCount val="31"/>
                <c:pt idx="0">
                  <c:v>0.53</c:v>
                </c:pt>
                <c:pt idx="1">
                  <c:v>0.496</c:v>
                </c:pt>
                <c:pt idx="2">
                  <c:v>0.46200000000000002</c:v>
                </c:pt>
                <c:pt idx="3">
                  <c:v>0.42799999999999999</c:v>
                </c:pt>
                <c:pt idx="4">
                  <c:v>0.39400000000000002</c:v>
                </c:pt>
                <c:pt idx="5">
                  <c:v>0.35899999999999999</c:v>
                </c:pt>
                <c:pt idx="6">
                  <c:v>0.32500000000000001</c:v>
                </c:pt>
                <c:pt idx="7">
                  <c:v>0.29099999999999998</c:v>
                </c:pt>
                <c:pt idx="8">
                  <c:v>0.25700000000000001</c:v>
                </c:pt>
                <c:pt idx="9">
                  <c:v>0.22700000000000001</c:v>
                </c:pt>
                <c:pt idx="10">
                  <c:v>0.19800000000000001</c:v>
                </c:pt>
                <c:pt idx="11">
                  <c:v>0.17599999999999999</c:v>
                </c:pt>
                <c:pt idx="12">
                  <c:v>0.155</c:v>
                </c:pt>
                <c:pt idx="13">
                  <c:v>0.129</c:v>
                </c:pt>
                <c:pt idx="14">
                  <c:v>0.104</c:v>
                </c:pt>
                <c:pt idx="15">
                  <c:v>0.08</c:v>
                </c:pt>
                <c:pt idx="16">
                  <c:v>5.7000000000000002E-2</c:v>
                </c:pt>
                <c:pt idx="17">
                  <c:v>3.6999999999999998E-2</c:v>
                </c:pt>
                <c:pt idx="18">
                  <c:v>4.2000000000000003E-2</c:v>
                </c:pt>
                <c:pt idx="19">
                  <c:v>0.06</c:v>
                </c:pt>
                <c:pt idx="20">
                  <c:v>7.5999999999999998E-2</c:v>
                </c:pt>
                <c:pt idx="21">
                  <c:v>0.09</c:v>
                </c:pt>
                <c:pt idx="22">
                  <c:v>0.10199999999999999</c:v>
                </c:pt>
                <c:pt idx="23">
                  <c:v>0.112</c:v>
                </c:pt>
                <c:pt idx="24">
                  <c:v>0.121</c:v>
                </c:pt>
                <c:pt idx="25">
                  <c:v>0.122</c:v>
                </c:pt>
                <c:pt idx="26">
                  <c:v>0.10100000000000001</c:v>
                </c:pt>
                <c:pt idx="27">
                  <c:v>6.6000000000000003E-2</c:v>
                </c:pt>
                <c:pt idx="28">
                  <c:v>4.3999999999999997E-2</c:v>
                </c:pt>
                <c:pt idx="29">
                  <c:v>2.7E-2</c:v>
                </c:pt>
                <c:pt idx="30">
                  <c:v>2.1000000000000001E-2</c:v>
                </c:pt>
              </c:numCache>
            </c:numRef>
          </c:xVal>
          <c:yVal>
            <c:numRef>
              <c:f>LC06_ALS!$E$35:$E$65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D-4891-BB48-06E73467AF76}"/>
            </c:ext>
          </c:extLst>
        </c:ser>
        <c:ser>
          <c:idx val="2"/>
          <c:order val="2"/>
          <c:tx>
            <c:strRef>
              <c:f>LC06_ALS!$A$66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LC06_ALS!$O$66:$O$96</c:f>
              <c:numCache>
                <c:formatCode>0.00</c:formatCode>
                <c:ptCount val="31"/>
                <c:pt idx="0">
                  <c:v>0.51600000000000001</c:v>
                </c:pt>
                <c:pt idx="1">
                  <c:v>0.48299999999999998</c:v>
                </c:pt>
                <c:pt idx="2">
                  <c:v>0.45</c:v>
                </c:pt>
                <c:pt idx="3">
                  <c:v>0.41699999999999998</c:v>
                </c:pt>
                <c:pt idx="4">
                  <c:v>0.38400000000000001</c:v>
                </c:pt>
                <c:pt idx="5">
                  <c:v>0.35099999999999998</c:v>
                </c:pt>
                <c:pt idx="6">
                  <c:v>0.318</c:v>
                </c:pt>
                <c:pt idx="7">
                  <c:v>0.28499999999999998</c:v>
                </c:pt>
                <c:pt idx="8">
                  <c:v>0.251</c:v>
                </c:pt>
                <c:pt idx="9">
                  <c:v>0.223</c:v>
                </c:pt>
                <c:pt idx="10">
                  <c:v>0.19500000000000001</c:v>
                </c:pt>
                <c:pt idx="11">
                  <c:v>0.17399999999999999</c:v>
                </c:pt>
                <c:pt idx="12">
                  <c:v>0.153</c:v>
                </c:pt>
                <c:pt idx="13">
                  <c:v>0.128</c:v>
                </c:pt>
                <c:pt idx="14">
                  <c:v>0.10299999999999999</c:v>
                </c:pt>
                <c:pt idx="15">
                  <c:v>0.08</c:v>
                </c:pt>
                <c:pt idx="16">
                  <c:v>5.8999999999999997E-2</c:v>
                </c:pt>
                <c:pt idx="17">
                  <c:v>3.9E-2</c:v>
                </c:pt>
                <c:pt idx="18">
                  <c:v>4.7E-2</c:v>
                </c:pt>
                <c:pt idx="19">
                  <c:v>6.4000000000000001E-2</c:v>
                </c:pt>
                <c:pt idx="20">
                  <c:v>7.9000000000000001E-2</c:v>
                </c:pt>
                <c:pt idx="21">
                  <c:v>9.1999999999999998E-2</c:v>
                </c:pt>
                <c:pt idx="22">
                  <c:v>0.10299999999999999</c:v>
                </c:pt>
                <c:pt idx="23">
                  <c:v>0.112</c:v>
                </c:pt>
                <c:pt idx="24">
                  <c:v>0.12</c:v>
                </c:pt>
                <c:pt idx="25">
                  <c:v>0.122</c:v>
                </c:pt>
                <c:pt idx="26">
                  <c:v>0.10100000000000001</c:v>
                </c:pt>
                <c:pt idx="27">
                  <c:v>6.7000000000000004E-2</c:v>
                </c:pt>
                <c:pt idx="28">
                  <c:v>4.5999999999999999E-2</c:v>
                </c:pt>
                <c:pt idx="29">
                  <c:v>0.03</c:v>
                </c:pt>
                <c:pt idx="30">
                  <c:v>2.3E-2</c:v>
                </c:pt>
              </c:numCache>
            </c:numRef>
          </c:xVal>
          <c:yVal>
            <c:numRef>
              <c:f>LC06_ALS!$E$66:$E$96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5D-4891-BB48-06E73467AF76}"/>
            </c:ext>
          </c:extLst>
        </c:ser>
        <c:ser>
          <c:idx val="3"/>
          <c:order val="3"/>
          <c:tx>
            <c:strRef>
              <c:f>LC06_ALS!$A$97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LC06_ALS!$O$97:$O$127</c:f>
              <c:numCache>
                <c:formatCode>0.00</c:formatCode>
                <c:ptCount val="31"/>
                <c:pt idx="0">
                  <c:v>0.53600000000000003</c:v>
                </c:pt>
                <c:pt idx="1">
                  <c:v>0.502</c:v>
                </c:pt>
                <c:pt idx="2">
                  <c:v>0.46899999999999997</c:v>
                </c:pt>
                <c:pt idx="3">
                  <c:v>0.435</c:v>
                </c:pt>
                <c:pt idx="4">
                  <c:v>0.40200000000000002</c:v>
                </c:pt>
                <c:pt idx="5">
                  <c:v>0.36799999999999999</c:v>
                </c:pt>
                <c:pt idx="6">
                  <c:v>0.33400000000000002</c:v>
                </c:pt>
                <c:pt idx="7">
                  <c:v>0.30099999999999999</c:v>
                </c:pt>
                <c:pt idx="8">
                  <c:v>0.26700000000000002</c:v>
                </c:pt>
                <c:pt idx="9">
                  <c:v>0.23799999999999999</c:v>
                </c:pt>
                <c:pt idx="10">
                  <c:v>0.20899999999999999</c:v>
                </c:pt>
                <c:pt idx="11">
                  <c:v>0.188</c:v>
                </c:pt>
                <c:pt idx="12">
                  <c:v>0.16700000000000001</c:v>
                </c:pt>
                <c:pt idx="13">
                  <c:v>0.14099999999999999</c:v>
                </c:pt>
                <c:pt idx="14">
                  <c:v>0.11600000000000001</c:v>
                </c:pt>
                <c:pt idx="15">
                  <c:v>9.1999999999999998E-2</c:v>
                </c:pt>
                <c:pt idx="16">
                  <c:v>7.0000000000000007E-2</c:v>
                </c:pt>
                <c:pt idx="17">
                  <c:v>4.9000000000000002E-2</c:v>
                </c:pt>
                <c:pt idx="18">
                  <c:v>5.5E-2</c:v>
                </c:pt>
                <c:pt idx="19">
                  <c:v>7.2999999999999995E-2</c:v>
                </c:pt>
                <c:pt idx="20">
                  <c:v>8.6999999999999994E-2</c:v>
                </c:pt>
                <c:pt idx="21">
                  <c:v>0.10100000000000001</c:v>
                </c:pt>
                <c:pt idx="22">
                  <c:v>0.112</c:v>
                </c:pt>
                <c:pt idx="23">
                  <c:v>0.121</c:v>
                </c:pt>
                <c:pt idx="24">
                  <c:v>0.129</c:v>
                </c:pt>
                <c:pt idx="25">
                  <c:v>0.13</c:v>
                </c:pt>
                <c:pt idx="26">
                  <c:v>0.11</c:v>
                </c:pt>
                <c:pt idx="27">
                  <c:v>7.4999999999999997E-2</c:v>
                </c:pt>
                <c:pt idx="28">
                  <c:v>5.2999999999999999E-2</c:v>
                </c:pt>
                <c:pt idx="29">
                  <c:v>3.6999999999999998E-2</c:v>
                </c:pt>
                <c:pt idx="30">
                  <c:v>0.03</c:v>
                </c:pt>
              </c:numCache>
            </c:numRef>
          </c:xVal>
          <c:yVal>
            <c:numRef>
              <c:f>LC06_ALS!$E$97:$E$127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5D-4891-BB48-06E73467A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03855"/>
        <c:axId val="1910445519"/>
      </c:scatterChart>
      <c:valAx>
        <c:axId val="195970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Utilization ratio, UR [-]</a:t>
                </a:r>
              </a:p>
            </c:rich>
          </c:tx>
          <c:layout>
            <c:manualLayout>
              <c:xMode val="edge"/>
              <c:yMode val="edge"/>
              <c:x val="0.36251211461302701"/>
              <c:y val="6.52599113195523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high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5519"/>
        <c:crossesAt val="2"/>
        <c:crossBetween val="midCat"/>
      </c:valAx>
      <c:valAx>
        <c:axId val="1910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Z-level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03855"/>
        <c:crossesAt val="-2000"/>
        <c:crossBetween val="midCat"/>
        <c:majorUnit val="2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14943334867786"/>
          <c:y val="0.78593071819119975"/>
          <c:w val="9.1610337972167014E-2"/>
          <c:h val="0.1433833380444472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LC06_ALS!$AA$66:$AA$300</c:f>
              <c:numCache>
                <c:formatCode>0.00</c:formatCode>
                <c:ptCount val="235"/>
                <c:pt idx="0">
                  <c:v>-41.2003436010936</c:v>
                </c:pt>
                <c:pt idx="1">
                  <c:v>-41.191446643176498</c:v>
                </c:pt>
                <c:pt idx="2">
                  <c:v>-41.1650666397272</c:v>
                </c:pt>
                <c:pt idx="3">
                  <c:v>-41.121514461047902</c:v>
                </c:pt>
                <c:pt idx="4">
                  <c:v>-41.061100977440702</c:v>
                </c:pt>
                <c:pt idx="5">
                  <c:v>-40.984137059207697</c:v>
                </c:pt>
                <c:pt idx="6">
                  <c:v>-40.890933576650703</c:v>
                </c:pt>
                <c:pt idx="7">
                  <c:v>-40.781801400071899</c:v>
                </c:pt>
                <c:pt idx="8">
                  <c:v>-40.657051399773103</c:v>
                </c:pt>
                <c:pt idx="9">
                  <c:v>-40.516994446056302</c:v>
                </c:pt>
                <c:pt idx="10">
                  <c:v>-40.361941409223299</c:v>
                </c:pt>
                <c:pt idx="11">
                  <c:v>-40.192203159576202</c:v>
                </c:pt>
                <c:pt idx="12">
                  <c:v>-40.008090567416801</c:v>
                </c:pt>
                <c:pt idx="13">
                  <c:v>-39.809914503046997</c:v>
                </c:pt>
                <c:pt idx="14">
                  <c:v>-39.5979858367687</c:v>
                </c:pt>
                <c:pt idx="15">
                  <c:v>-39.372615438883699</c:v>
                </c:pt>
                <c:pt idx="16">
                  <c:v>-39.134114179693803</c:v>
                </c:pt>
                <c:pt idx="17">
                  <c:v>-38.882792929500901</c:v>
                </c:pt>
                <c:pt idx="18">
                  <c:v>-38.618962558606697</c:v>
                </c:pt>
                <c:pt idx="19">
                  <c:v>-38.342933937312999</c:v>
                </c:pt>
                <c:pt idx="20">
                  <c:v>-38.055017935921597</c:v>
                </c:pt>
                <c:pt idx="21">
                  <c:v>-37.755525424734302</c:v>
                </c:pt>
                <c:pt idx="22">
                  <c:v>-37.444767274052602</c:v>
                </c:pt>
                <c:pt idx="23">
                  <c:v>-37.1230543541784</c:v>
                </c:pt>
                <c:pt idx="24">
                  <c:v>-36.790697535413301</c:v>
                </c:pt>
                <c:pt idx="25">
                  <c:v>-36.448007688059</c:v>
                </c:pt>
                <c:pt idx="26">
                  <c:v>-36.095295682417103</c:v>
                </c:pt>
                <c:pt idx="27">
                  <c:v>-35.732872388789403</c:v>
                </c:pt>
                <c:pt idx="28">
                  <c:v>-35.361048677477399</c:v>
                </c:pt>
                <c:pt idx="29">
                  <c:v>-34.980135418782901</c:v>
                </c:pt>
                <c:pt idx="30">
                  <c:v>-34.590443483007398</c:v>
                </c:pt>
                <c:pt idx="31">
                  <c:v>-34.192283740452702</c:v>
                </c:pt>
                <c:pt idx="32">
                  <c:v>-33.785967061420202</c:v>
                </c:pt>
                <c:pt idx="33">
                  <c:v>-33.371804316211701</c:v>
                </c:pt>
                <c:pt idx="34">
                  <c:v>-32.950106375128698</c:v>
                </c:pt>
                <c:pt idx="35">
                  <c:v>-32.521183682705299</c:v>
                </c:pt>
                <c:pt idx="36">
                  <c:v>-32.085345787022497</c:v>
                </c:pt>
                <c:pt idx="37">
                  <c:v>-31.642900830663802</c:v>
                </c:pt>
                <c:pt idx="38">
                  <c:v>-31.194155009879299</c:v>
                </c:pt>
                <c:pt idx="39">
                  <c:v>-30.739412008527498</c:v>
                </c:pt>
                <c:pt idx="40">
                  <c:v>-30.2789728181701</c:v>
                </c:pt>
                <c:pt idx="41">
                  <c:v>-29.813135615846299</c:v>
                </c:pt>
                <c:pt idx="42">
                  <c:v>-29.342195641618702</c:v>
                </c:pt>
                <c:pt idx="43">
                  <c:v>-28.866445075923401</c:v>
                </c:pt>
                <c:pt idx="44">
                  <c:v>-28.386172916753399</c:v>
                </c:pt>
                <c:pt idx="45">
                  <c:v>-27.9016648567031</c:v>
                </c:pt>
                <c:pt idx="46">
                  <c:v>-27.4132031599021</c:v>
                </c:pt>
                <c:pt idx="47">
                  <c:v>-26.921066538865599</c:v>
                </c:pt>
                <c:pt idx="48">
                  <c:v>-26.425530031285302</c:v>
                </c:pt>
                <c:pt idx="49">
                  <c:v>-25.926864876787398</c:v>
                </c:pt>
                <c:pt idx="50">
                  <c:v>-25.4253383936794</c:v>
                </c:pt>
                <c:pt idx="51">
                  <c:v>-24.921213855710398</c:v>
                </c:pt>
                <c:pt idx="52">
                  <c:v>-24.414750368864201</c:v>
                </c:pt>
                <c:pt idx="53">
                  <c:v>-23.906202748207701</c:v>
                </c:pt>
                <c:pt idx="54">
                  <c:v>-23.395821394812899</c:v>
                </c:pt>
                <c:pt idx="55">
                  <c:v>-22.883852172771501</c:v>
                </c:pt>
                <c:pt idx="56">
                  <c:v>-22.370536286319101</c:v>
                </c:pt>
                <c:pt idx="57">
                  <c:v>-21.856110157086398</c:v>
                </c:pt>
                <c:pt idx="58">
                  <c:v>-21.340805383800401</c:v>
                </c:pt>
                <c:pt idx="59">
                  <c:v>-20.824848711419499</c:v>
                </c:pt>
                <c:pt idx="60">
                  <c:v>-20.3084620058696</c:v>
                </c:pt>
                <c:pt idx="61">
                  <c:v>-19.791862234438899</c:v>
                </c:pt>
                <c:pt idx="62">
                  <c:v>-19.275261451882798</c:v>
                </c:pt>
                <c:pt idx="63">
                  <c:v>-18.758866792284898</c:v>
                </c:pt>
                <c:pt idx="64">
                  <c:v>-18.242880466718201</c:v>
                </c:pt>
                <c:pt idx="65">
                  <c:v>-17.727499835610701</c:v>
                </c:pt>
                <c:pt idx="66">
                  <c:v>-17.212917483076101</c:v>
                </c:pt>
                <c:pt idx="67">
                  <c:v>-16.699321294279599</c:v>
                </c:pt>
                <c:pt idx="68">
                  <c:v>-16.186894535795201</c:v>
                </c:pt>
                <c:pt idx="69">
                  <c:v>-15.6758159389063</c:v>
                </c:pt>
                <c:pt idx="70">
                  <c:v>-15.166259785805501</c:v>
                </c:pt>
                <c:pt idx="71">
                  <c:v>-14.658395998642</c:v>
                </c:pt>
                <c:pt idx="72">
                  <c:v>-14.152390231369001</c:v>
                </c:pt>
                <c:pt idx="73">
                  <c:v>-13.648403964339501</c:v>
                </c:pt>
                <c:pt idx="74">
                  <c:v>-13.146594601598601</c:v>
                </c:pt>
                <c:pt idx="75">
                  <c:v>-12.64711557082</c:v>
                </c:pt>
                <c:pt idx="76">
                  <c:v>-12.150116425832399</c:v>
                </c:pt>
                <c:pt idx="77">
                  <c:v>-11.6557429516804</c:v>
                </c:pt>
                <c:pt idx="78">
                  <c:v>-11.1641372721647</c:v>
                </c:pt>
                <c:pt idx="79">
                  <c:v>-10.675437959804499</c:v>
                </c:pt>
                <c:pt idx="80">
                  <c:v>-10.1897801481634</c:v>
                </c:pt>
                <c:pt idx="81">
                  <c:v>-9.7072956464816205</c:v>
                </c:pt>
                <c:pt idx="82">
                  <c:v>-9.2281130565531999</c:v>
                </c:pt>
                <c:pt idx="83">
                  <c:v>-8.7523578917884493</c:v>
                </c:pt>
                <c:pt idx="84">
                  <c:v>-8.2801526983998794</c:v>
                </c:pt>
                <c:pt idx="85">
                  <c:v>-7.8116171786490298</c:v>
                </c:pt>
                <c:pt idx="86">
                  <c:v>-7.3468683160911104</c:v>
                </c:pt>
                <c:pt idx="87">
                  <c:v>-6.8860205027529302</c:v>
                </c:pt>
                <c:pt idx="88">
                  <c:v>-6.4291856681791799</c:v>
                </c:pt>
                <c:pt idx="89">
                  <c:v>-5.9764734102808301</c:v>
                </c:pt>
                <c:pt idx="90">
                  <c:v>-5.5279911279188703</c:v>
                </c:pt>
                <c:pt idx="91">
                  <c:v>-5.0838441551552203</c:v>
                </c:pt>
                <c:pt idx="92">
                  <c:v>-4.6441358971022302</c:v>
                </c:pt>
                <c:pt idx="93">
                  <c:v>-4.2089679673007199</c:v>
                </c:pt>
                <c:pt idx="94">
                  <c:v>-3.7784403265558701</c:v>
                </c:pt>
                <c:pt idx="95">
                  <c:v>-3.3525735328697999</c:v>
                </c:pt>
                <c:pt idx="96">
                  <c:v>-2.9313142320297199</c:v>
                </c:pt>
                <c:pt idx="97">
                  <c:v>-2.5145412617541201</c:v>
                </c:pt>
                <c:pt idx="98">
                  <c:v>-2.1020723282074099</c:v>
                </c:pt>
                <c:pt idx="99">
                  <c:v>-1.6936712093651201</c:v>
                </c:pt>
                <c:pt idx="100">
                  <c:v>-1.2890554373629499</c:v>
                </c:pt>
                <c:pt idx="101">
                  <c:v>-0.88790441140420395</c:v>
                </c:pt>
                <c:pt idx="102">
                  <c:v>-0.48986789375312101</c:v>
                </c:pt>
                <c:pt idx="103">
                  <c:v>-9.4574843475825801E-2</c:v>
                </c:pt>
                <c:pt idx="104">
                  <c:v>0.29835745443536998</c:v>
                </c:pt>
                <c:pt idx="105">
                  <c:v>0.689314003430191</c:v>
                </c:pt>
                <c:pt idx="106">
                  <c:v>1.0786724884230601</c:v>
                </c:pt>
                <c:pt idx="107">
                  <c:v>1.4667934789313299</c:v>
                </c:pt>
                <c:pt idx="108">
                  <c:v>1.8540104702882501</c:v>
                </c:pt>
                <c:pt idx="109">
                  <c:v>2.2406197877196701</c:v>
                </c:pt>
                <c:pt idx="110">
                  <c:v>2.6268703753195699</c:v>
                </c:pt>
                <c:pt idx="111">
                  <c:v>3.0129534896663799</c:v>
                </c:pt>
                <c:pt idx="112">
                  <c:v>3.3989923159993101</c:v>
                </c:pt>
              </c:numCache>
            </c:numRef>
          </c:xVal>
          <c:yVal>
            <c:numRef>
              <c:f>LC06_ALS!$Z$66:$Z$300</c:f>
              <c:numCache>
                <c:formatCode>0.00</c:formatCode>
                <c:ptCount val="235"/>
                <c:pt idx="0">
                  <c:v>1.2</c:v>
                </c:pt>
                <c:pt idx="1">
                  <c:v>1.0999999999999901</c:v>
                </c:pt>
                <c:pt idx="2">
                  <c:v>0.999999999999999</c:v>
                </c:pt>
                <c:pt idx="3">
                  <c:v>0.89999999999999902</c:v>
                </c:pt>
                <c:pt idx="4">
                  <c:v>0.79999999999999905</c:v>
                </c:pt>
                <c:pt idx="5">
                  <c:v>0.69999999999999896</c:v>
                </c:pt>
                <c:pt idx="6">
                  <c:v>0.59999999999999898</c:v>
                </c:pt>
                <c:pt idx="7">
                  <c:v>0.499999999999999</c:v>
                </c:pt>
                <c:pt idx="8">
                  <c:v>0.39999999999999902</c:v>
                </c:pt>
                <c:pt idx="9">
                  <c:v>0.29999999999999899</c:v>
                </c:pt>
                <c:pt idx="10">
                  <c:v>0.19999999999999901</c:v>
                </c:pt>
                <c:pt idx="11">
                  <c:v>9.9999999999998895E-2</c:v>
                </c:pt>
                <c:pt idx="12">
                  <c:v>-1.11022302462515E-15</c:v>
                </c:pt>
                <c:pt idx="13">
                  <c:v>-0.100000000000001</c:v>
                </c:pt>
                <c:pt idx="14">
                  <c:v>-0.20000000000000101</c:v>
                </c:pt>
                <c:pt idx="15">
                  <c:v>-0.30000000000000099</c:v>
                </c:pt>
                <c:pt idx="16">
                  <c:v>-0.40000000000000102</c:v>
                </c:pt>
                <c:pt idx="17">
                  <c:v>-0.500000000000001</c:v>
                </c:pt>
                <c:pt idx="18">
                  <c:v>-0.60000000000000098</c:v>
                </c:pt>
                <c:pt idx="19">
                  <c:v>-0.70000000000000095</c:v>
                </c:pt>
                <c:pt idx="20">
                  <c:v>-0.80000000000000104</c:v>
                </c:pt>
                <c:pt idx="21">
                  <c:v>-0.90000000000000102</c:v>
                </c:pt>
                <c:pt idx="22">
                  <c:v>-1</c:v>
                </c:pt>
                <c:pt idx="23">
                  <c:v>-1.1000000000000001</c:v>
                </c:pt>
                <c:pt idx="24">
                  <c:v>-1.2</c:v>
                </c:pt>
                <c:pt idx="25">
                  <c:v>-1.3</c:v>
                </c:pt>
                <c:pt idx="26">
                  <c:v>-1.4</c:v>
                </c:pt>
                <c:pt idx="27">
                  <c:v>-1.5</c:v>
                </c:pt>
                <c:pt idx="28">
                  <c:v>-1.6</c:v>
                </c:pt>
                <c:pt idx="29">
                  <c:v>-1.7</c:v>
                </c:pt>
                <c:pt idx="30">
                  <c:v>-1.8</c:v>
                </c:pt>
                <c:pt idx="31">
                  <c:v>-1.9</c:v>
                </c:pt>
                <c:pt idx="32">
                  <c:v>-2</c:v>
                </c:pt>
                <c:pt idx="33">
                  <c:v>-2.1</c:v>
                </c:pt>
                <c:pt idx="34">
                  <c:v>-2.2000000000000002</c:v>
                </c:pt>
                <c:pt idx="35">
                  <c:v>-2.2999999999999998</c:v>
                </c:pt>
                <c:pt idx="36">
                  <c:v>-2.4</c:v>
                </c:pt>
                <c:pt idx="37">
                  <c:v>-2.5</c:v>
                </c:pt>
                <c:pt idx="38">
                  <c:v>-2.6</c:v>
                </c:pt>
                <c:pt idx="39">
                  <c:v>-2.7</c:v>
                </c:pt>
                <c:pt idx="40">
                  <c:v>-2.8</c:v>
                </c:pt>
                <c:pt idx="41">
                  <c:v>-2.9</c:v>
                </c:pt>
                <c:pt idx="42">
                  <c:v>-3</c:v>
                </c:pt>
                <c:pt idx="43">
                  <c:v>-3.1</c:v>
                </c:pt>
                <c:pt idx="44">
                  <c:v>-3.2</c:v>
                </c:pt>
                <c:pt idx="45">
                  <c:v>-3.3</c:v>
                </c:pt>
                <c:pt idx="46">
                  <c:v>-3.4</c:v>
                </c:pt>
                <c:pt idx="47">
                  <c:v>-3.5</c:v>
                </c:pt>
                <c:pt idx="48">
                  <c:v>-3.6</c:v>
                </c:pt>
                <c:pt idx="49">
                  <c:v>-3.7</c:v>
                </c:pt>
                <c:pt idx="50">
                  <c:v>-3.8</c:v>
                </c:pt>
                <c:pt idx="51">
                  <c:v>-3.9</c:v>
                </c:pt>
                <c:pt idx="52">
                  <c:v>-4</c:v>
                </c:pt>
                <c:pt idx="53">
                  <c:v>-4.0999999999999996</c:v>
                </c:pt>
                <c:pt idx="54">
                  <c:v>-4.2</c:v>
                </c:pt>
                <c:pt idx="55">
                  <c:v>-4.3</c:v>
                </c:pt>
                <c:pt idx="56">
                  <c:v>-4.4000000000000004</c:v>
                </c:pt>
                <c:pt idx="57">
                  <c:v>-4.5</c:v>
                </c:pt>
                <c:pt idx="58">
                  <c:v>-4.5999999999999996</c:v>
                </c:pt>
                <c:pt idx="59">
                  <c:v>-4.7</c:v>
                </c:pt>
                <c:pt idx="60">
                  <c:v>-4.8</c:v>
                </c:pt>
                <c:pt idx="61">
                  <c:v>-4.9000000000000004</c:v>
                </c:pt>
                <c:pt idx="62">
                  <c:v>-5</c:v>
                </c:pt>
                <c:pt idx="63">
                  <c:v>-5.0999999999999996</c:v>
                </c:pt>
                <c:pt idx="64">
                  <c:v>-5.2</c:v>
                </c:pt>
                <c:pt idx="65">
                  <c:v>-5.3</c:v>
                </c:pt>
                <c:pt idx="66">
                  <c:v>-5.4</c:v>
                </c:pt>
                <c:pt idx="67">
                  <c:v>-5.5</c:v>
                </c:pt>
                <c:pt idx="68">
                  <c:v>-5.6</c:v>
                </c:pt>
                <c:pt idx="69">
                  <c:v>-5.7</c:v>
                </c:pt>
                <c:pt idx="70">
                  <c:v>-5.8</c:v>
                </c:pt>
                <c:pt idx="71">
                  <c:v>-5.9</c:v>
                </c:pt>
                <c:pt idx="72">
                  <c:v>-6</c:v>
                </c:pt>
                <c:pt idx="73">
                  <c:v>-6.1</c:v>
                </c:pt>
                <c:pt idx="74">
                  <c:v>-6.2</c:v>
                </c:pt>
                <c:pt idx="75">
                  <c:v>-6.3</c:v>
                </c:pt>
                <c:pt idx="76">
                  <c:v>-6.4</c:v>
                </c:pt>
                <c:pt idx="77">
                  <c:v>-6.5</c:v>
                </c:pt>
                <c:pt idx="78">
                  <c:v>-6.6</c:v>
                </c:pt>
                <c:pt idx="79">
                  <c:v>-6.7</c:v>
                </c:pt>
                <c:pt idx="80">
                  <c:v>-6.8</c:v>
                </c:pt>
                <c:pt idx="81">
                  <c:v>-6.9</c:v>
                </c:pt>
                <c:pt idx="82">
                  <c:v>-7</c:v>
                </c:pt>
                <c:pt idx="83">
                  <c:v>-7.1</c:v>
                </c:pt>
                <c:pt idx="84">
                  <c:v>-7.2</c:v>
                </c:pt>
                <c:pt idx="85">
                  <c:v>-7.3</c:v>
                </c:pt>
                <c:pt idx="86">
                  <c:v>-7.4</c:v>
                </c:pt>
                <c:pt idx="87">
                  <c:v>-7.5</c:v>
                </c:pt>
                <c:pt idx="88">
                  <c:v>-7.6</c:v>
                </c:pt>
                <c:pt idx="89">
                  <c:v>-7.7</c:v>
                </c:pt>
                <c:pt idx="90">
                  <c:v>-7.8</c:v>
                </c:pt>
                <c:pt idx="91">
                  <c:v>-7.9</c:v>
                </c:pt>
                <c:pt idx="92">
                  <c:v>-8</c:v>
                </c:pt>
                <c:pt idx="93">
                  <c:v>-8.1</c:v>
                </c:pt>
                <c:pt idx="94">
                  <c:v>-8.2000000000000099</c:v>
                </c:pt>
                <c:pt idx="95">
                  <c:v>-8.3000000000000096</c:v>
                </c:pt>
                <c:pt idx="96">
                  <c:v>-8.4000000000000092</c:v>
                </c:pt>
                <c:pt idx="97">
                  <c:v>-8.5</c:v>
                </c:pt>
                <c:pt idx="98">
                  <c:v>-8.6</c:v>
                </c:pt>
                <c:pt idx="99">
                  <c:v>-8.7000000000000099</c:v>
                </c:pt>
                <c:pt idx="100">
                  <c:v>-8.8000000000000096</c:v>
                </c:pt>
                <c:pt idx="101">
                  <c:v>-8.9000000000000092</c:v>
                </c:pt>
                <c:pt idx="102">
                  <c:v>-9.0000000000000107</c:v>
                </c:pt>
                <c:pt idx="103">
                  <c:v>-9.1000000000000103</c:v>
                </c:pt>
                <c:pt idx="104">
                  <c:v>-9.2000000000000099</c:v>
                </c:pt>
                <c:pt idx="105">
                  <c:v>-9.3000000000000096</c:v>
                </c:pt>
                <c:pt idx="106">
                  <c:v>-9.4000000000000092</c:v>
                </c:pt>
                <c:pt idx="107">
                  <c:v>-9.5000000000000107</c:v>
                </c:pt>
                <c:pt idx="108">
                  <c:v>-9.6000000000000103</c:v>
                </c:pt>
                <c:pt idx="109">
                  <c:v>-9.7000000000000099</c:v>
                </c:pt>
                <c:pt idx="110">
                  <c:v>-9.8000000000000096</c:v>
                </c:pt>
                <c:pt idx="111">
                  <c:v>-9.9000000000000092</c:v>
                </c:pt>
                <c:pt idx="112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B-4BDD-9AD6-09F164D58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933296"/>
        <c:axId val="970931376"/>
      </c:scatterChart>
      <c:valAx>
        <c:axId val="970933296"/>
        <c:scaling>
          <c:orientation val="minMax"/>
          <c:max val="10"/>
          <c:min val="-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0931376"/>
        <c:crosses val="autoZero"/>
        <c:crossBetween val="midCat"/>
      </c:valAx>
      <c:valAx>
        <c:axId val="970931376"/>
        <c:scaling>
          <c:orientation val="minMax"/>
          <c:max val="5"/>
          <c:min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0933296"/>
        <c:crosses val="autoZero"/>
        <c:crossBetween val="midCat"/>
        <c:majorUnit val="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3358159798733224"/>
          <c:y val="0.10522371289192256"/>
          <c:w val="0.77946961530943826"/>
          <c:h val="0.86356947012745877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LC06_ALS!$AB$66:$AB$300</c:f>
              <c:numCache>
                <c:formatCode>0.00</c:formatCode>
                <c:ptCount val="2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0.32959999999999234</c:v>
                </c:pt>
                <c:pt idx="66">
                  <c:v>1.7234702537182851</c:v>
                </c:pt>
                <c:pt idx="67">
                  <c:v>3.5978810148731406</c:v>
                </c:pt>
                <c:pt idx="68">
                  <c:v>5.6232322834645672</c:v>
                </c:pt>
                <c:pt idx="69">
                  <c:v>7.7995240594925637</c:v>
                </c:pt>
                <c:pt idx="70">
                  <c:v>10.126756342957131</c:v>
                </c:pt>
                <c:pt idx="71">
                  <c:v>12.604929133858267</c:v>
                </c:pt>
                <c:pt idx="72">
                  <c:v>15.234042432195976</c:v>
                </c:pt>
                <c:pt idx="73">
                  <c:v>18.014096237970254</c:v>
                </c:pt>
                <c:pt idx="74">
                  <c:v>20.945090551181103</c:v>
                </c:pt>
                <c:pt idx="75">
                  <c:v>24.027025371828522</c:v>
                </c:pt>
                <c:pt idx="76">
                  <c:v>117.50626548187445</c:v>
                </c:pt>
                <c:pt idx="77">
                  <c:v>120.47235872624343</c:v>
                </c:pt>
                <c:pt idx="78">
                  <c:v>123.45492205040574</c:v>
                </c:pt>
                <c:pt idx="79">
                  <c:v>126.45395545436243</c:v>
                </c:pt>
                <c:pt idx="80">
                  <c:v>129.4694589381146</c:v>
                </c:pt>
                <c:pt idx="81">
                  <c:v>132.5014325016601</c:v>
                </c:pt>
                <c:pt idx="82">
                  <c:v>135.5498761449989</c:v>
                </c:pt>
                <c:pt idx="83">
                  <c:v>138.61478986813319</c:v>
                </c:pt>
                <c:pt idx="84">
                  <c:v>141.6961736710619</c:v>
                </c:pt>
                <c:pt idx="85">
                  <c:v>144.79402755378388</c:v>
                </c:pt>
                <c:pt idx="86">
                  <c:v>147.90835151630139</c:v>
                </c:pt>
                <c:pt idx="87">
                  <c:v>151.0391455586122</c:v>
                </c:pt>
                <c:pt idx="88">
                  <c:v>154.18640968071742</c:v>
                </c:pt>
                <c:pt idx="89">
                  <c:v>157.35014388261703</c:v>
                </c:pt>
                <c:pt idx="90">
                  <c:v>160.53034816430991</c:v>
                </c:pt>
                <c:pt idx="91">
                  <c:v>163.72702252579833</c:v>
                </c:pt>
                <c:pt idx="92">
                  <c:v>166.94016696708005</c:v>
                </c:pt>
                <c:pt idx="93">
                  <c:v>170.16978148815724</c:v>
                </c:pt>
                <c:pt idx="94">
                  <c:v>173.41586608902779</c:v>
                </c:pt>
                <c:pt idx="95">
                  <c:v>176.67842076969271</c:v>
                </c:pt>
                <c:pt idx="96">
                  <c:v>179.95744553015203</c:v>
                </c:pt>
                <c:pt idx="97">
                  <c:v>183.25294037040464</c:v>
                </c:pt>
                <c:pt idx="98">
                  <c:v>186.56490529045277</c:v>
                </c:pt>
                <c:pt idx="99">
                  <c:v>189.89334029029419</c:v>
                </c:pt>
                <c:pt idx="100">
                  <c:v>193.23824536993112</c:v>
                </c:pt>
                <c:pt idx="101">
                  <c:v>196.59962052936135</c:v>
                </c:pt>
                <c:pt idx="102">
                  <c:v>199.97746576858597</c:v>
                </c:pt>
                <c:pt idx="103">
                  <c:v>203.37178108760497</c:v>
                </c:pt>
                <c:pt idx="104">
                  <c:v>206.78256648641732</c:v>
                </c:pt>
                <c:pt idx="105">
                  <c:v>210.20982196502516</c:v>
                </c:pt>
                <c:pt idx="106">
                  <c:v>213.65354752342628</c:v>
                </c:pt>
                <c:pt idx="107">
                  <c:v>217.11374316162181</c:v>
                </c:pt>
                <c:pt idx="108">
                  <c:v>220.59040887961285</c:v>
                </c:pt>
                <c:pt idx="109">
                  <c:v>224.08354467739719</c:v>
                </c:pt>
                <c:pt idx="110">
                  <c:v>227.59315055497484</c:v>
                </c:pt>
                <c:pt idx="111">
                  <c:v>231.11922651234798</c:v>
                </c:pt>
                <c:pt idx="112">
                  <c:v>234.66177254951555</c:v>
                </c:pt>
              </c:numCache>
            </c:numRef>
          </c:xVal>
          <c:yVal>
            <c:numRef>
              <c:f>LC06_ALS!$S$66:$S$300</c:f>
              <c:numCache>
                <c:formatCode>0.00</c:formatCode>
                <c:ptCount val="235"/>
                <c:pt idx="0">
                  <c:v>3.25</c:v>
                </c:pt>
                <c:pt idx="1">
                  <c:v>3.2</c:v>
                </c:pt>
                <c:pt idx="2">
                  <c:v>3.15</c:v>
                </c:pt>
                <c:pt idx="3">
                  <c:v>3.1</c:v>
                </c:pt>
                <c:pt idx="4">
                  <c:v>3.05</c:v>
                </c:pt>
                <c:pt idx="5">
                  <c:v>3</c:v>
                </c:pt>
                <c:pt idx="6">
                  <c:v>2.95</c:v>
                </c:pt>
                <c:pt idx="7">
                  <c:v>2.9</c:v>
                </c:pt>
                <c:pt idx="8">
                  <c:v>2.85</c:v>
                </c:pt>
                <c:pt idx="9">
                  <c:v>2.8</c:v>
                </c:pt>
                <c:pt idx="10">
                  <c:v>2.75</c:v>
                </c:pt>
                <c:pt idx="11">
                  <c:v>2.7</c:v>
                </c:pt>
                <c:pt idx="12">
                  <c:v>2.65</c:v>
                </c:pt>
                <c:pt idx="13">
                  <c:v>2.6</c:v>
                </c:pt>
                <c:pt idx="14">
                  <c:v>2.5499999999999998</c:v>
                </c:pt>
                <c:pt idx="15">
                  <c:v>2.5</c:v>
                </c:pt>
                <c:pt idx="16">
                  <c:v>2.4500000000000002</c:v>
                </c:pt>
                <c:pt idx="17">
                  <c:v>2.4</c:v>
                </c:pt>
                <c:pt idx="18">
                  <c:v>2.35</c:v>
                </c:pt>
                <c:pt idx="19">
                  <c:v>2.2999999999999998</c:v>
                </c:pt>
                <c:pt idx="20">
                  <c:v>2.25</c:v>
                </c:pt>
                <c:pt idx="21">
                  <c:v>2.2000000000000002</c:v>
                </c:pt>
                <c:pt idx="22">
                  <c:v>2.15</c:v>
                </c:pt>
                <c:pt idx="23">
                  <c:v>2.1</c:v>
                </c:pt>
                <c:pt idx="24">
                  <c:v>2.0499999999999998</c:v>
                </c:pt>
                <c:pt idx="25">
                  <c:v>2</c:v>
                </c:pt>
                <c:pt idx="26">
                  <c:v>1.95</c:v>
                </c:pt>
                <c:pt idx="27">
                  <c:v>1.9</c:v>
                </c:pt>
                <c:pt idx="28">
                  <c:v>1.85</c:v>
                </c:pt>
                <c:pt idx="29">
                  <c:v>1.8</c:v>
                </c:pt>
                <c:pt idx="30">
                  <c:v>1.75</c:v>
                </c:pt>
                <c:pt idx="31">
                  <c:v>1.7</c:v>
                </c:pt>
                <c:pt idx="32">
                  <c:v>1.65</c:v>
                </c:pt>
                <c:pt idx="33">
                  <c:v>1.6</c:v>
                </c:pt>
                <c:pt idx="34">
                  <c:v>1.55</c:v>
                </c:pt>
                <c:pt idx="35">
                  <c:v>1.5</c:v>
                </c:pt>
                <c:pt idx="36">
                  <c:v>1.45</c:v>
                </c:pt>
                <c:pt idx="37">
                  <c:v>1.4</c:v>
                </c:pt>
                <c:pt idx="38">
                  <c:v>1.35</c:v>
                </c:pt>
                <c:pt idx="39">
                  <c:v>1.3</c:v>
                </c:pt>
                <c:pt idx="40">
                  <c:v>1.25</c:v>
                </c:pt>
                <c:pt idx="41">
                  <c:v>1.2</c:v>
                </c:pt>
                <c:pt idx="42">
                  <c:v>1.1499999999999999</c:v>
                </c:pt>
                <c:pt idx="43">
                  <c:v>1.1000000000000001</c:v>
                </c:pt>
                <c:pt idx="44">
                  <c:v>1.05</c:v>
                </c:pt>
                <c:pt idx="45">
                  <c:v>1</c:v>
                </c:pt>
                <c:pt idx="46">
                  <c:v>0.95000000000000795</c:v>
                </c:pt>
                <c:pt idx="47">
                  <c:v>0.90000000000000802</c:v>
                </c:pt>
                <c:pt idx="48">
                  <c:v>0.85000000000000797</c:v>
                </c:pt>
                <c:pt idx="49">
                  <c:v>0.80000000000000804</c:v>
                </c:pt>
                <c:pt idx="50">
                  <c:v>0.75000000000000799</c:v>
                </c:pt>
                <c:pt idx="51">
                  <c:v>0.70000000000000895</c:v>
                </c:pt>
                <c:pt idx="52">
                  <c:v>0.65000000000000902</c:v>
                </c:pt>
                <c:pt idx="53">
                  <c:v>0.60000000000000897</c:v>
                </c:pt>
                <c:pt idx="54">
                  <c:v>0.55000000000000904</c:v>
                </c:pt>
                <c:pt idx="55">
                  <c:v>0.50000000000000899</c:v>
                </c:pt>
                <c:pt idx="56">
                  <c:v>0.450000000000009</c:v>
                </c:pt>
                <c:pt idx="57">
                  <c:v>0.40000000000001001</c:v>
                </c:pt>
                <c:pt idx="58">
                  <c:v>0.35000000000001003</c:v>
                </c:pt>
                <c:pt idx="59">
                  <c:v>0.30000000000000998</c:v>
                </c:pt>
                <c:pt idx="60">
                  <c:v>0.25000000000000999</c:v>
                </c:pt>
                <c:pt idx="61">
                  <c:v>0.20000000000001</c:v>
                </c:pt>
                <c:pt idx="62">
                  <c:v>0.15000000000001101</c:v>
                </c:pt>
                <c:pt idx="63">
                  <c:v>0.100000000000011</c:v>
                </c:pt>
                <c:pt idx="64">
                  <c:v>5.0000000000011299E-2</c:v>
                </c:pt>
                <c:pt idx="65">
                  <c:v>1.15463194561016E-14</c:v>
                </c:pt>
                <c:pt idx="66">
                  <c:v>-4.99999999999882E-2</c:v>
                </c:pt>
                <c:pt idx="67">
                  <c:v>-9.9999999999988098E-2</c:v>
                </c:pt>
                <c:pt idx="68">
                  <c:v>-0.149999999999987</c:v>
                </c:pt>
                <c:pt idx="69">
                  <c:v>-0.19999999999998699</c:v>
                </c:pt>
                <c:pt idx="70">
                  <c:v>-0.24999999999998701</c:v>
                </c:pt>
                <c:pt idx="71">
                  <c:v>-0.299999999999987</c:v>
                </c:pt>
                <c:pt idx="72">
                  <c:v>-0.34999999999998699</c:v>
                </c:pt>
                <c:pt idx="73">
                  <c:v>-0.39999999999998698</c:v>
                </c:pt>
                <c:pt idx="74">
                  <c:v>-0.44999999999998602</c:v>
                </c:pt>
                <c:pt idx="75">
                  <c:v>-0.49999999999998601</c:v>
                </c:pt>
                <c:pt idx="76">
                  <c:v>-0.54999999999998594</c:v>
                </c:pt>
                <c:pt idx="77">
                  <c:v>-0.59999999999998599</c:v>
                </c:pt>
                <c:pt idx="78">
                  <c:v>-0.64999999999998603</c:v>
                </c:pt>
                <c:pt idx="79">
                  <c:v>-0.69999999999998597</c:v>
                </c:pt>
                <c:pt idx="80">
                  <c:v>-0.74999999999998501</c:v>
                </c:pt>
                <c:pt idx="81">
                  <c:v>-0.79999999999998495</c:v>
                </c:pt>
                <c:pt idx="82">
                  <c:v>-0.84999999999998499</c:v>
                </c:pt>
                <c:pt idx="83">
                  <c:v>-0.89999999999998503</c:v>
                </c:pt>
                <c:pt idx="84">
                  <c:v>-0.94999999999998497</c:v>
                </c:pt>
                <c:pt idx="85">
                  <c:v>-0.99999999999998401</c:v>
                </c:pt>
                <c:pt idx="86">
                  <c:v>-1.0499999999999801</c:v>
                </c:pt>
                <c:pt idx="87">
                  <c:v>-1.0999999999999801</c:v>
                </c:pt>
                <c:pt idx="88">
                  <c:v>-1.1499999999999799</c:v>
                </c:pt>
                <c:pt idx="89">
                  <c:v>-1.19999999999998</c:v>
                </c:pt>
                <c:pt idx="90">
                  <c:v>-1.24999999999998</c:v>
                </c:pt>
                <c:pt idx="91">
                  <c:v>-1.2999999999999801</c:v>
                </c:pt>
                <c:pt idx="92">
                  <c:v>-1.3499999999999801</c:v>
                </c:pt>
                <c:pt idx="93">
                  <c:v>-1.3999999999999799</c:v>
                </c:pt>
                <c:pt idx="94">
                  <c:v>-1.44999999999998</c:v>
                </c:pt>
                <c:pt idx="95">
                  <c:v>-1.49999999999998</c:v>
                </c:pt>
                <c:pt idx="96">
                  <c:v>-1.5499999999999801</c:v>
                </c:pt>
                <c:pt idx="97">
                  <c:v>-1.5999999999999801</c:v>
                </c:pt>
                <c:pt idx="98">
                  <c:v>-1.6499999999999799</c:v>
                </c:pt>
                <c:pt idx="99">
                  <c:v>-1.69999999999998</c:v>
                </c:pt>
                <c:pt idx="100">
                  <c:v>-1.74999999999998</c:v>
                </c:pt>
                <c:pt idx="101">
                  <c:v>-1.7999999999999801</c:v>
                </c:pt>
                <c:pt idx="102">
                  <c:v>-1.8499999999999801</c:v>
                </c:pt>
                <c:pt idx="103">
                  <c:v>-1.8999999999999799</c:v>
                </c:pt>
                <c:pt idx="104">
                  <c:v>-1.94999999999998</c:v>
                </c:pt>
                <c:pt idx="105">
                  <c:v>-1.99999999999998</c:v>
                </c:pt>
                <c:pt idx="106">
                  <c:v>-2.0499999999999798</c:v>
                </c:pt>
                <c:pt idx="107">
                  <c:v>-2.0999999999999801</c:v>
                </c:pt>
                <c:pt idx="108">
                  <c:v>-2.1499999999999799</c:v>
                </c:pt>
                <c:pt idx="109">
                  <c:v>-2.1999999999999802</c:v>
                </c:pt>
                <c:pt idx="110">
                  <c:v>-2.24999999999998</c:v>
                </c:pt>
                <c:pt idx="111">
                  <c:v>-2.2999999999999798</c:v>
                </c:pt>
                <c:pt idx="112">
                  <c:v>-2.3499999999999801</c:v>
                </c:pt>
                <c:pt idx="113">
                  <c:v>-2.3999999999999799</c:v>
                </c:pt>
                <c:pt idx="114">
                  <c:v>-2.44999999999997</c:v>
                </c:pt>
                <c:pt idx="115">
                  <c:v>-2.4999999999999698</c:v>
                </c:pt>
                <c:pt idx="116">
                  <c:v>-2.5499999999999701</c:v>
                </c:pt>
                <c:pt idx="117">
                  <c:v>-2.5999999999999699</c:v>
                </c:pt>
                <c:pt idx="118">
                  <c:v>-2.6499999999999702</c:v>
                </c:pt>
                <c:pt idx="119">
                  <c:v>-2.69999999999997</c:v>
                </c:pt>
                <c:pt idx="120">
                  <c:v>-2.7499999999999698</c:v>
                </c:pt>
                <c:pt idx="121">
                  <c:v>-2.7999999999999701</c:v>
                </c:pt>
                <c:pt idx="122">
                  <c:v>-2.8499999999999699</c:v>
                </c:pt>
                <c:pt idx="123">
                  <c:v>-2.8999999999999702</c:v>
                </c:pt>
                <c:pt idx="124">
                  <c:v>-2.94999999999997</c:v>
                </c:pt>
                <c:pt idx="125">
                  <c:v>-2.9999999999999698</c:v>
                </c:pt>
                <c:pt idx="126">
                  <c:v>-3.0499999999999701</c:v>
                </c:pt>
                <c:pt idx="127">
                  <c:v>-3.0999999999999699</c:v>
                </c:pt>
                <c:pt idx="128">
                  <c:v>-3.1499999999999702</c:v>
                </c:pt>
                <c:pt idx="129">
                  <c:v>-3.19999999999997</c:v>
                </c:pt>
                <c:pt idx="130">
                  <c:v>-3.2499999999999698</c:v>
                </c:pt>
                <c:pt idx="131">
                  <c:v>-3.2999999999999701</c:v>
                </c:pt>
                <c:pt idx="132">
                  <c:v>-3.3499999999999699</c:v>
                </c:pt>
                <c:pt idx="133">
                  <c:v>-3.3999999999999702</c:v>
                </c:pt>
                <c:pt idx="134">
                  <c:v>-3.44999999999997</c:v>
                </c:pt>
                <c:pt idx="135">
                  <c:v>-3.4999999999999698</c:v>
                </c:pt>
                <c:pt idx="136">
                  <c:v>-3.5499999999999701</c:v>
                </c:pt>
                <c:pt idx="137">
                  <c:v>-3.5999999999999699</c:v>
                </c:pt>
                <c:pt idx="138">
                  <c:v>-3.6499999999999702</c:v>
                </c:pt>
                <c:pt idx="139">
                  <c:v>-3.69999999999997</c:v>
                </c:pt>
                <c:pt idx="140">
                  <c:v>-3.7499999999999698</c:v>
                </c:pt>
                <c:pt idx="141">
                  <c:v>-3.7999999999999701</c:v>
                </c:pt>
                <c:pt idx="142">
                  <c:v>-3.8499999999999699</c:v>
                </c:pt>
                <c:pt idx="143">
                  <c:v>-3.8999999999999702</c:v>
                </c:pt>
                <c:pt idx="144">
                  <c:v>-3.94999999999997</c:v>
                </c:pt>
                <c:pt idx="145">
                  <c:v>-3.9999999999999698</c:v>
                </c:pt>
                <c:pt idx="146">
                  <c:v>-4.0499999999999696</c:v>
                </c:pt>
                <c:pt idx="147">
                  <c:v>-4.0999999999999703</c:v>
                </c:pt>
                <c:pt idx="148">
                  <c:v>-4.1499999999999702</c:v>
                </c:pt>
                <c:pt idx="149">
                  <c:v>-4.19999999999997</c:v>
                </c:pt>
                <c:pt idx="150">
                  <c:v>-4.2499999999999698</c:v>
                </c:pt>
                <c:pt idx="151">
                  <c:v>-4.2999999999999696</c:v>
                </c:pt>
                <c:pt idx="152">
                  <c:v>-4.3499999999999703</c:v>
                </c:pt>
                <c:pt idx="153">
                  <c:v>-4.3999999999999702</c:v>
                </c:pt>
                <c:pt idx="154">
                  <c:v>-4.44999999999997</c:v>
                </c:pt>
                <c:pt idx="155">
                  <c:v>-4.4999999999999698</c:v>
                </c:pt>
                <c:pt idx="156">
                  <c:v>-4.5499999999999696</c:v>
                </c:pt>
                <c:pt idx="157">
                  <c:v>-4.5999999999999703</c:v>
                </c:pt>
                <c:pt idx="158">
                  <c:v>-4.6499999999999702</c:v>
                </c:pt>
                <c:pt idx="159">
                  <c:v>-4.69999999999997</c:v>
                </c:pt>
                <c:pt idx="160">
                  <c:v>-4.7499999999999698</c:v>
                </c:pt>
                <c:pt idx="161">
                  <c:v>-4.7999999999999696</c:v>
                </c:pt>
                <c:pt idx="162">
                  <c:v>-4.8499999999999703</c:v>
                </c:pt>
                <c:pt idx="163">
                  <c:v>-4.8999999999999702</c:v>
                </c:pt>
                <c:pt idx="164">
                  <c:v>-4.94999999999997</c:v>
                </c:pt>
                <c:pt idx="165">
                  <c:v>-4.9999999999999698</c:v>
                </c:pt>
                <c:pt idx="166">
                  <c:v>-5.0499999999999696</c:v>
                </c:pt>
                <c:pt idx="167">
                  <c:v>-5.0999999999999597</c:v>
                </c:pt>
                <c:pt idx="168">
                  <c:v>-5.1499999999999702</c:v>
                </c:pt>
                <c:pt idx="169">
                  <c:v>-5.19999999999997</c:v>
                </c:pt>
                <c:pt idx="170">
                  <c:v>-5.2499999999999698</c:v>
                </c:pt>
                <c:pt idx="171">
                  <c:v>-5.2999999999999599</c:v>
                </c:pt>
                <c:pt idx="172">
                  <c:v>-5.3499999999999597</c:v>
                </c:pt>
                <c:pt idx="173">
                  <c:v>-5.3999999999999702</c:v>
                </c:pt>
                <c:pt idx="174">
                  <c:v>-5.4499999999999602</c:v>
                </c:pt>
                <c:pt idx="175">
                  <c:v>-5.49999999999996</c:v>
                </c:pt>
                <c:pt idx="176">
                  <c:v>-5.5499999999999599</c:v>
                </c:pt>
                <c:pt idx="177">
                  <c:v>-5.5999999999999597</c:v>
                </c:pt>
                <c:pt idx="178">
                  <c:v>-5.6499999999999604</c:v>
                </c:pt>
                <c:pt idx="179">
                  <c:v>-5.6999999999999602</c:v>
                </c:pt>
                <c:pt idx="180">
                  <c:v>-5.74999999999996</c:v>
                </c:pt>
                <c:pt idx="181">
                  <c:v>-5.7999999999999599</c:v>
                </c:pt>
                <c:pt idx="182">
                  <c:v>-5.8499999999999597</c:v>
                </c:pt>
                <c:pt idx="183">
                  <c:v>-5.8999999999999604</c:v>
                </c:pt>
                <c:pt idx="184">
                  <c:v>-5.9499999999999602</c:v>
                </c:pt>
                <c:pt idx="185">
                  <c:v>-5.99999999999996</c:v>
                </c:pt>
                <c:pt idx="186">
                  <c:v>-6.0499999999999599</c:v>
                </c:pt>
                <c:pt idx="187">
                  <c:v>-6.0999999999999597</c:v>
                </c:pt>
                <c:pt idx="188">
                  <c:v>-6.1499999999999604</c:v>
                </c:pt>
                <c:pt idx="189">
                  <c:v>-6.1999999999999602</c:v>
                </c:pt>
                <c:pt idx="190">
                  <c:v>-6.24999999999996</c:v>
                </c:pt>
                <c:pt idx="191">
                  <c:v>-6.2999999999999599</c:v>
                </c:pt>
                <c:pt idx="192">
                  <c:v>-6.3499999999999597</c:v>
                </c:pt>
                <c:pt idx="193">
                  <c:v>-6.3999999999999604</c:v>
                </c:pt>
                <c:pt idx="194">
                  <c:v>-6.4499999999999602</c:v>
                </c:pt>
                <c:pt idx="195">
                  <c:v>-6.49999999999996</c:v>
                </c:pt>
                <c:pt idx="196">
                  <c:v>-6.5499999999999599</c:v>
                </c:pt>
                <c:pt idx="197">
                  <c:v>-6.5999999999999597</c:v>
                </c:pt>
                <c:pt idx="198">
                  <c:v>-6.6499999999999604</c:v>
                </c:pt>
                <c:pt idx="199">
                  <c:v>-6.6999999999999602</c:v>
                </c:pt>
                <c:pt idx="200">
                  <c:v>-6.74999999999996</c:v>
                </c:pt>
                <c:pt idx="201">
                  <c:v>-6.7999999999999599</c:v>
                </c:pt>
                <c:pt idx="202">
                  <c:v>-6.8499999999999597</c:v>
                </c:pt>
                <c:pt idx="203">
                  <c:v>-6.8999999999999604</c:v>
                </c:pt>
                <c:pt idx="204">
                  <c:v>-6.9499999999999602</c:v>
                </c:pt>
                <c:pt idx="205">
                  <c:v>-6.99999999999996</c:v>
                </c:pt>
                <c:pt idx="206">
                  <c:v>-7.0499999999999599</c:v>
                </c:pt>
                <c:pt idx="207">
                  <c:v>-7.0999999999999597</c:v>
                </c:pt>
                <c:pt idx="208">
                  <c:v>-7.1499999999999604</c:v>
                </c:pt>
                <c:pt idx="209">
                  <c:v>-7.1999999999999602</c:v>
                </c:pt>
                <c:pt idx="210">
                  <c:v>-7.24999999999996</c:v>
                </c:pt>
                <c:pt idx="211">
                  <c:v>-7.2999999999999599</c:v>
                </c:pt>
                <c:pt idx="212">
                  <c:v>-7.3499999999999597</c:v>
                </c:pt>
                <c:pt idx="213">
                  <c:v>-7.3999999999999604</c:v>
                </c:pt>
                <c:pt idx="214">
                  <c:v>-7.4499999999999602</c:v>
                </c:pt>
                <c:pt idx="215">
                  <c:v>-7.49999999999996</c:v>
                </c:pt>
                <c:pt idx="216">
                  <c:v>-7.5499999999999599</c:v>
                </c:pt>
                <c:pt idx="217">
                  <c:v>-7.5999999999999597</c:v>
                </c:pt>
                <c:pt idx="218">
                  <c:v>-7.6499999999999604</c:v>
                </c:pt>
                <c:pt idx="219">
                  <c:v>-7.6999999999999602</c:v>
                </c:pt>
                <c:pt idx="220">
                  <c:v>-7.74999999999996</c:v>
                </c:pt>
                <c:pt idx="221">
                  <c:v>-7.7999999999999599</c:v>
                </c:pt>
                <c:pt idx="222">
                  <c:v>-7.8499999999999597</c:v>
                </c:pt>
                <c:pt idx="223">
                  <c:v>-7.8999999999999497</c:v>
                </c:pt>
                <c:pt idx="224">
                  <c:v>-7.9499999999999602</c:v>
                </c:pt>
                <c:pt idx="225">
                  <c:v>-7.99999999999996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B-4BDD-9AD6-09F164D58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933296"/>
        <c:axId val="970931376"/>
      </c:scatterChart>
      <c:valAx>
        <c:axId val="97093329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0931376"/>
        <c:crosses val="autoZero"/>
        <c:crossBetween val="midCat"/>
      </c:valAx>
      <c:valAx>
        <c:axId val="970931376"/>
        <c:scaling>
          <c:orientation val="minMax"/>
          <c:max val="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0933296"/>
        <c:crosses val="autoZero"/>
        <c:crossBetween val="midCat"/>
        <c:majorUnit val="1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LC06_ALS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47299131765144"/>
          <c:y val="0.1405222144354106"/>
          <c:w val="0.8231214189706052"/>
          <c:h val="0.800005352271453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LC06_ALS!$A$4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LC06_ALS!$M$4:$M$34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-75.555555555555472</c:v>
                </c:pt>
                <c:pt idx="12">
                  <c:v>-73.70370370370361</c:v>
                </c:pt>
                <c:pt idx="13">
                  <c:v>-82.857142857142946</c:v>
                </c:pt>
                <c:pt idx="14">
                  <c:v>-93.142857142857181</c:v>
                </c:pt>
                <c:pt idx="15">
                  <c:v>-104.28571428571426</c:v>
                </c:pt>
                <c:pt idx="16">
                  <c:v>-111.94444444444422</c:v>
                </c:pt>
                <c:pt idx="17">
                  <c:v>-125.14285714285731</c:v>
                </c:pt>
                <c:pt idx="18">
                  <c:v>-127.31707317073163</c:v>
                </c:pt>
                <c:pt idx="19">
                  <c:v>-116.66666666666669</c:v>
                </c:pt>
                <c:pt idx="20">
                  <c:v>-109.51219512195127</c:v>
                </c:pt>
                <c:pt idx="21">
                  <c:v>-97.727272727272833</c:v>
                </c:pt>
                <c:pt idx="22">
                  <c:v>-84.545454545454447</c:v>
                </c:pt>
                <c:pt idx="23">
                  <c:v>-70.454545454545539</c:v>
                </c:pt>
                <c:pt idx="24">
                  <c:v>-55.227272727272705</c:v>
                </c:pt>
                <c:pt idx="25">
                  <c:v>-724.39024390243878</c:v>
                </c:pt>
                <c:pt idx="26">
                  <c:v>-1017.8571428571429</c:v>
                </c:pt>
                <c:pt idx="27">
                  <c:v>-290.00000000000011</c:v>
                </c:pt>
                <c:pt idx="28">
                  <c:v>369.23076923076951</c:v>
                </c:pt>
                <c:pt idx="29">
                  <c:v>909.60000000000014</c:v>
                </c:pt>
                <c:pt idx="30">
                  <c:v>1477.2</c:v>
                </c:pt>
              </c:numCache>
            </c:numRef>
          </c:xVal>
          <c:yVal>
            <c:numRef>
              <c:f>LC06_ALS!$E$4:$E$34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1-4601-BCE7-46BC88CBCE92}"/>
            </c:ext>
          </c:extLst>
        </c:ser>
        <c:ser>
          <c:idx val="1"/>
          <c:order val="1"/>
          <c:tx>
            <c:strRef>
              <c:f>LC06_ALS!$A$35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LC06_ALS!$M$35:$M$65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-76.296296296296376</c:v>
                </c:pt>
                <c:pt idx="12">
                  <c:v>-74.074074074074076</c:v>
                </c:pt>
                <c:pt idx="13">
                  <c:v>-83.142857142857295</c:v>
                </c:pt>
                <c:pt idx="14">
                  <c:v>-93.714285714285566</c:v>
                </c:pt>
                <c:pt idx="15">
                  <c:v>-104.85714285714296</c:v>
                </c:pt>
                <c:pt idx="16">
                  <c:v>-112.49999999999974</c:v>
                </c:pt>
                <c:pt idx="17">
                  <c:v>-126.0000000000002</c:v>
                </c:pt>
                <c:pt idx="18">
                  <c:v>-129.02439024390233</c:v>
                </c:pt>
                <c:pt idx="19">
                  <c:v>-119.28571428571436</c:v>
                </c:pt>
                <c:pt idx="20">
                  <c:v>-112.19512195121948</c:v>
                </c:pt>
                <c:pt idx="21">
                  <c:v>-99.772727272727337</c:v>
                </c:pt>
                <c:pt idx="22">
                  <c:v>-86.590909090909065</c:v>
                </c:pt>
                <c:pt idx="23">
                  <c:v>-72.045454545454604</c:v>
                </c:pt>
                <c:pt idx="24">
                  <c:v>-56.363636363636338</c:v>
                </c:pt>
                <c:pt idx="25">
                  <c:v>-740.24390243902417</c:v>
                </c:pt>
                <c:pt idx="26">
                  <c:v>-1039.5238095238096</c:v>
                </c:pt>
                <c:pt idx="27">
                  <c:v>-293.90243902439016</c:v>
                </c:pt>
                <c:pt idx="28">
                  <c:v>381.5384615384616</c:v>
                </c:pt>
                <c:pt idx="29">
                  <c:v>934.80000000000018</c:v>
                </c:pt>
                <c:pt idx="30">
                  <c:v>1516</c:v>
                </c:pt>
              </c:numCache>
            </c:numRef>
          </c:xVal>
          <c:yVal>
            <c:numRef>
              <c:f>LC06_ALS!$E$35:$E$65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A1-4601-BCE7-46BC88CBCE92}"/>
            </c:ext>
          </c:extLst>
        </c:ser>
        <c:ser>
          <c:idx val="2"/>
          <c:order val="2"/>
          <c:tx>
            <c:strRef>
              <c:f>LC06_ALS!$A$66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LC06_ALS!$M$66:$M$96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-75.555555555555472</c:v>
                </c:pt>
                <c:pt idx="12">
                  <c:v>-73.333333333333584</c:v>
                </c:pt>
                <c:pt idx="13">
                  <c:v>-81.999999999999886</c:v>
                </c:pt>
                <c:pt idx="14">
                  <c:v>-92.857142857142833</c:v>
                </c:pt>
                <c:pt idx="15">
                  <c:v>-104.00000000000007</c:v>
                </c:pt>
                <c:pt idx="16">
                  <c:v>-111.3888888888887</c:v>
                </c:pt>
                <c:pt idx="17">
                  <c:v>-124.57142857142877</c:v>
                </c:pt>
                <c:pt idx="18">
                  <c:v>-125.60975609756093</c:v>
                </c:pt>
                <c:pt idx="19">
                  <c:v>-114.5238095238096</c:v>
                </c:pt>
                <c:pt idx="20">
                  <c:v>-107.56097560975597</c:v>
                </c:pt>
                <c:pt idx="21">
                  <c:v>-95.909090909091063</c:v>
                </c:pt>
                <c:pt idx="22">
                  <c:v>-82.954545454545382</c:v>
                </c:pt>
                <c:pt idx="23">
                  <c:v>-68.863636363636402</c:v>
                </c:pt>
                <c:pt idx="24">
                  <c:v>-54.090909090909072</c:v>
                </c:pt>
                <c:pt idx="25">
                  <c:v>-709.26829268292659</c:v>
                </c:pt>
                <c:pt idx="26">
                  <c:v>-995.4761904761906</c:v>
                </c:pt>
                <c:pt idx="27">
                  <c:v>-280.00000000000006</c:v>
                </c:pt>
                <c:pt idx="28">
                  <c:v>368.07692307692355</c:v>
                </c:pt>
                <c:pt idx="29">
                  <c:v>899.2</c:v>
                </c:pt>
                <c:pt idx="30">
                  <c:v>1456.8</c:v>
                </c:pt>
              </c:numCache>
            </c:numRef>
          </c:xVal>
          <c:yVal>
            <c:numRef>
              <c:f>LC06_ALS!$E$66:$E$96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A1-4601-BCE7-46BC88CBCE92}"/>
            </c:ext>
          </c:extLst>
        </c:ser>
        <c:ser>
          <c:idx val="3"/>
          <c:order val="3"/>
          <c:tx>
            <c:strRef>
              <c:f>LC06_ALS!$A$97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LC06_ALS!$M$97:$M$127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-75.925925925925924</c:v>
                </c:pt>
                <c:pt idx="12">
                  <c:v>-73.70370370370361</c:v>
                </c:pt>
                <c:pt idx="13">
                  <c:v>-82.571428571428584</c:v>
                </c:pt>
                <c:pt idx="14">
                  <c:v>-93.42857142857153</c:v>
                </c:pt>
                <c:pt idx="15">
                  <c:v>-104.57142857142844</c:v>
                </c:pt>
                <c:pt idx="16">
                  <c:v>-111.94444444444437</c:v>
                </c:pt>
                <c:pt idx="17">
                  <c:v>-125.42857142857149</c:v>
                </c:pt>
                <c:pt idx="18">
                  <c:v>-127.56097560975608</c:v>
                </c:pt>
                <c:pt idx="19">
                  <c:v>-117.14285714285714</c:v>
                </c:pt>
                <c:pt idx="20">
                  <c:v>-110.24390243902447</c:v>
                </c:pt>
                <c:pt idx="21">
                  <c:v>-97.954545454545482</c:v>
                </c:pt>
                <c:pt idx="22">
                  <c:v>-84.999999999999943</c:v>
                </c:pt>
                <c:pt idx="23">
                  <c:v>-70.681818181818244</c:v>
                </c:pt>
                <c:pt idx="24">
                  <c:v>-55.454545454545418</c:v>
                </c:pt>
                <c:pt idx="25">
                  <c:v>-725.85365853658516</c:v>
                </c:pt>
                <c:pt idx="26">
                  <c:v>-1019.0476190476194</c:v>
                </c:pt>
                <c:pt idx="27">
                  <c:v>-286.58536585365846</c:v>
                </c:pt>
                <c:pt idx="28">
                  <c:v>376.92307692307725</c:v>
                </c:pt>
                <c:pt idx="29">
                  <c:v>920.80000000000018</c:v>
                </c:pt>
                <c:pt idx="30">
                  <c:v>1492</c:v>
                </c:pt>
              </c:numCache>
            </c:numRef>
          </c:xVal>
          <c:yVal>
            <c:numRef>
              <c:f>LC06_ALS!$E$97:$E$127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A1-4601-BCE7-46BC88CBCE92}"/>
            </c:ext>
          </c:extLst>
        </c:ser>
        <c:ser>
          <c:idx val="4"/>
          <c:order val="4"/>
          <c:spPr>
            <a:ln w="317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LC06_ALS!$AD$66:$AD$300</c:f>
              <c:numCache>
                <c:formatCode>0.00</c:formatCode>
                <c:ptCount val="235"/>
                <c:pt idx="1">
                  <c:v>6.1345531321421435E-7</c:v>
                </c:pt>
                <c:pt idx="2">
                  <c:v>-3.6802703107243184E-6</c:v>
                </c:pt>
                <c:pt idx="3">
                  <c:v>-7.9739049851923499E-6</c:v>
                </c:pt>
                <c:pt idx="4">
                  <c:v>-7.9738799740880461E-6</c:v>
                </c:pt>
                <c:pt idx="5">
                  <c:v>-5.5204304771905282E-6</c:v>
                </c:pt>
                <c:pt idx="6">
                  <c:v>-4.9070399654738148E-6</c:v>
                </c:pt>
                <c:pt idx="7">
                  <c:v>-3.3735398119461033E-6</c:v>
                </c:pt>
                <c:pt idx="8">
                  <c:v>-1.8401146917312872E-6</c:v>
                </c:pt>
                <c:pt idx="9">
                  <c:v>-1.5334552472268115E-6</c:v>
                </c:pt>
                <c:pt idx="10">
                  <c:v>-3.3735904025888868E-6</c:v>
                </c:pt>
                <c:pt idx="11">
                  <c:v>-3.3735648230503991E-6</c:v>
                </c:pt>
                <c:pt idx="12">
                  <c:v>-2.1468144950631553E-6</c:v>
                </c:pt>
                <c:pt idx="13">
                  <c:v>-5.5204299087563439E-6</c:v>
                </c:pt>
                <c:pt idx="14">
                  <c:v>-4.6003401621419471E-6</c:v>
                </c:pt>
                <c:pt idx="15">
                  <c:v>-9.2001982920919545E-7</c:v>
                </c:pt>
                <c:pt idx="16">
                  <c:v>-1.2267452120795497E-6</c:v>
                </c:pt>
                <c:pt idx="17">
                  <c:v>-2.7602249019764717E-6</c:v>
                </c:pt>
                <c:pt idx="18">
                  <c:v>-4.6003145826034606E-6</c:v>
                </c:pt>
                <c:pt idx="19">
                  <c:v>-5.5204054660862295E-6</c:v>
                </c:pt>
                <c:pt idx="20">
                  <c:v>-4.6003401621419454E-6</c:v>
                </c:pt>
                <c:pt idx="21">
                  <c:v>-3.6802498470933833E-6</c:v>
                </c:pt>
                <c:pt idx="22">
                  <c:v>-3.3735904025889042E-6</c:v>
                </c:pt>
                <c:pt idx="23">
                  <c:v>-1.5334302361225131E-6</c:v>
                </c:pt>
                <c:pt idx="24">
                  <c:v>6.1338539580901862E-7</c:v>
                </c:pt>
                <c:pt idx="25">
                  <c:v>-2.5011104298755533E-11</c:v>
                </c:pt>
                <c:pt idx="26">
                  <c:v>-2.4535199827369074E-6</c:v>
                </c:pt>
                <c:pt idx="27">
                  <c:v>-3.0668849149151331E-6</c:v>
                </c:pt>
                <c:pt idx="28">
                  <c:v>-2.4534949716326086E-6</c:v>
                </c:pt>
                <c:pt idx="29">
                  <c:v>-2.1468150634973431E-6</c:v>
                </c:pt>
                <c:pt idx="30">
                  <c:v>-2.4535000875403061E-6</c:v>
                </c:pt>
                <c:pt idx="31">
                  <c:v>-3.373564823050402E-6</c:v>
                </c:pt>
                <c:pt idx="32">
                  <c:v>-4.2936551380989798E-6</c:v>
                </c:pt>
                <c:pt idx="33">
                  <c:v>-4.2936551380989798E-6</c:v>
                </c:pt>
                <c:pt idx="34">
                  <c:v>-9.2006985141779423E-7</c:v>
                </c:pt>
                <c:pt idx="35">
                  <c:v>-1.2267497595530602E-6</c:v>
                </c:pt>
                <c:pt idx="36">
                  <c:v>-4.9069950591729097E-6</c:v>
                </c:pt>
                <c:pt idx="37">
                  <c:v>-3.3735648230503982E-6</c:v>
                </c:pt>
                <c:pt idx="38">
                  <c:v>-2.7602249019764688E-6</c:v>
                </c:pt>
                <c:pt idx="39">
                  <c:v>-3.6802703107241592E-6</c:v>
                </c:pt>
                <c:pt idx="40">
                  <c:v>-4.2936352429023887E-6</c:v>
                </c:pt>
                <c:pt idx="41">
                  <c:v>-5.8270899216950005E-6</c:v>
                </c:pt>
                <c:pt idx="42">
                  <c:v>-3.6802498470933608E-6</c:v>
                </c:pt>
                <c:pt idx="43">
                  <c:v>-2.1468150634973405E-6</c:v>
                </c:pt>
                <c:pt idx="44">
                  <c:v>-3.3735852866811957E-6</c:v>
                </c:pt>
                <c:pt idx="45">
                  <c:v>-3.9869547663329336E-6</c:v>
                </c:pt>
                <c:pt idx="46">
                  <c:v>-4.2936596855724887E-6</c:v>
                </c:pt>
                <c:pt idx="47">
                  <c:v>-2.4535199827369049E-6</c:v>
                </c:pt>
                <c:pt idx="48">
                  <c:v>-9.2004029283998449E-7</c:v>
                </c:pt>
                <c:pt idx="49">
                  <c:v>-1.5334302361225148E-6</c:v>
                </c:pt>
                <c:pt idx="50">
                  <c:v>-2.4535245302104192E-6</c:v>
                </c:pt>
                <c:pt idx="51">
                  <c:v>-2.7602050067798675E-6</c:v>
                </c:pt>
                <c:pt idx="52">
                  <c:v>-9.2006530394428537E-7</c:v>
                </c:pt>
                <c:pt idx="53">
                  <c:v>-9.2006473551009464E-7</c:v>
                </c:pt>
                <c:pt idx="54">
                  <c:v>-2.7601799956755687E-6</c:v>
                </c:pt>
                <c:pt idx="55">
                  <c:v>-2.4535199827369049E-6</c:v>
                </c:pt>
                <c:pt idx="56">
                  <c:v>-2.1468400746016393E-6</c:v>
                </c:pt>
                <c:pt idx="57">
                  <c:v>-2.760179995675581E-6</c:v>
                </c:pt>
                <c:pt idx="58">
                  <c:v>-3.3735648230503982E-6</c:v>
                </c:pt>
                <c:pt idx="59">
                  <c:v>-3.6802703107241507E-6</c:v>
                </c:pt>
                <c:pt idx="60">
                  <c:v>-2.7602050067798675E-6</c:v>
                </c:pt>
                <c:pt idx="61">
                  <c:v>-2.4535097509215099E-6</c:v>
                </c:pt>
                <c:pt idx="62">
                  <c:v>-4.293635242902398E-6</c:v>
                </c:pt>
                <c:pt idx="63">
                  <c:v>-4.6003299303265479E-6</c:v>
                </c:pt>
                <c:pt idx="64">
                  <c:v>-3.0668945782963394E-6</c:v>
                </c:pt>
                <c:pt idx="65">
                  <c:v>-0.58232359542500889</c:v>
                </c:pt>
                <c:pt idx="66">
                  <c:v>-2.3622986838603288</c:v>
                </c:pt>
                <c:pt idx="67">
                  <c:v>-4.8213631663100101</c:v>
                </c:pt>
                <c:pt idx="68">
                  <c:v>-7.4034144092701064</c:v>
                </c:pt>
                <c:pt idx="69">
                  <c:v>-10.09939282917002</c:v>
                </c:pt>
                <c:pt idx="70">
                  <c:v>-12.900240682610036</c:v>
                </c:pt>
                <c:pt idx="71">
                  <c:v>-15.79690329301512</c:v>
                </c:pt>
                <c:pt idx="72">
                  <c:v>-18.780316169774732</c:v>
                </c:pt>
                <c:pt idx="73">
                  <c:v>-21.841418502585253</c:v>
                </c:pt>
                <c:pt idx="74">
                  <c:v>-24.971153161400231</c:v>
                </c:pt>
                <c:pt idx="75">
                  <c:v>-27.695942835859999</c:v>
                </c:pt>
                <c:pt idx="76">
                  <c:v>-29.356687486715007</c:v>
                </c:pt>
                <c:pt idx="77">
                  <c:v>-30.215384198439885</c:v>
                </c:pt>
                <c:pt idx="78">
                  <c:v>-30.899393798889577</c:v>
                </c:pt>
                <c:pt idx="79">
                  <c:v>-31.584003282384828</c:v>
                </c:pt>
                <c:pt idx="80">
                  <c:v>-32.269164192144871</c:v>
                </c:pt>
                <c:pt idx="81">
                  <c:v>-32.954829604785203</c:v>
                </c:pt>
                <c:pt idx="82">
                  <c:v>-33.640957810630546</c:v>
                </c:pt>
                <c:pt idx="83">
                  <c:v>-34.327508326794572</c:v>
                </c:pt>
                <c:pt idx="84">
                  <c:v>-35.014437603494997</c:v>
                </c:pt>
                <c:pt idx="85">
                  <c:v>-35.701700557445378</c:v>
                </c:pt>
                <c:pt idx="86">
                  <c:v>-36.389257319139539</c:v>
                </c:pt>
                <c:pt idx="87">
                  <c:v>-37.077066638995142</c:v>
                </c:pt>
                <c:pt idx="88">
                  <c:v>-37.765087114000231</c:v>
                </c:pt>
                <c:pt idx="89">
                  <c:v>-38.453282094844745</c:v>
                </c:pt>
                <c:pt idx="90">
                  <c:v>-39.141613092140197</c:v>
                </c:pt>
                <c:pt idx="91">
                  <c:v>-39.830041463085273</c:v>
                </c:pt>
                <c:pt idx="92">
                  <c:v>-40.518527798179917</c:v>
                </c:pt>
                <c:pt idx="93">
                  <c:v>-41.207035448142847</c:v>
                </c:pt>
                <c:pt idx="94">
                  <c:v>-41.895530063842635</c:v>
                </c:pt>
                <c:pt idx="95">
                  <c:v>-42.583976069390282</c:v>
                </c:pt>
                <c:pt idx="96">
                  <c:v>-43.272337428847237</c:v>
                </c:pt>
                <c:pt idx="97">
                  <c:v>-43.96058055982207</c:v>
                </c:pt>
                <c:pt idx="98">
                  <c:v>-44.648674026727853</c:v>
                </c:pt>
                <c:pt idx="99">
                  <c:v>-45.33658409380282</c:v>
                </c:pt>
                <c:pt idx="100">
                  <c:v>-46.024278252045455</c:v>
                </c:pt>
                <c:pt idx="101">
                  <c:v>-46.711724912529213</c:v>
                </c:pt>
                <c:pt idx="102">
                  <c:v>-47.398893713074443</c:v>
                </c:pt>
                <c:pt idx="103">
                  <c:v>-48.08575674499042</c:v>
                </c:pt>
                <c:pt idx="104">
                  <c:v>-48.772284259500395</c:v>
                </c:pt>
                <c:pt idx="105">
                  <c:v>-49.458444207640078</c:v>
                </c:pt>
                <c:pt idx="106">
                  <c:v>-50.144208834049394</c:v>
                </c:pt>
                <c:pt idx="107">
                  <c:v>-50.829556823894976</c:v>
                </c:pt>
                <c:pt idx="108">
                  <c:v>-51.51446072855056</c:v>
                </c:pt>
                <c:pt idx="109">
                  <c:v>-52.198890799189897</c:v>
                </c:pt>
                <c:pt idx="110">
                  <c:v>-52.88282434084995</c:v>
                </c:pt>
                <c:pt idx="111">
                  <c:v>-53.566236511757964</c:v>
                </c:pt>
                <c:pt idx="112">
                  <c:v>-1.0959414950218147</c:v>
                </c:pt>
              </c:numCache>
            </c:numRef>
          </c:xVal>
          <c:yVal>
            <c:numRef>
              <c:f>LC06_ALS!$Z$66:$Z$300</c:f>
              <c:numCache>
                <c:formatCode>0.00</c:formatCode>
                <c:ptCount val="235"/>
                <c:pt idx="0">
                  <c:v>1.2</c:v>
                </c:pt>
                <c:pt idx="1">
                  <c:v>1.0999999999999901</c:v>
                </c:pt>
                <c:pt idx="2">
                  <c:v>0.999999999999999</c:v>
                </c:pt>
                <c:pt idx="3">
                  <c:v>0.89999999999999902</c:v>
                </c:pt>
                <c:pt idx="4">
                  <c:v>0.79999999999999905</c:v>
                </c:pt>
                <c:pt idx="5">
                  <c:v>0.69999999999999896</c:v>
                </c:pt>
                <c:pt idx="6">
                  <c:v>0.59999999999999898</c:v>
                </c:pt>
                <c:pt idx="7">
                  <c:v>0.499999999999999</c:v>
                </c:pt>
                <c:pt idx="8">
                  <c:v>0.39999999999999902</c:v>
                </c:pt>
                <c:pt idx="9">
                  <c:v>0.29999999999999899</c:v>
                </c:pt>
                <c:pt idx="10">
                  <c:v>0.19999999999999901</c:v>
                </c:pt>
                <c:pt idx="11">
                  <c:v>9.9999999999998895E-2</c:v>
                </c:pt>
                <c:pt idx="12">
                  <c:v>-1.11022302462515E-15</c:v>
                </c:pt>
                <c:pt idx="13">
                  <c:v>-0.100000000000001</c:v>
                </c:pt>
                <c:pt idx="14">
                  <c:v>-0.20000000000000101</c:v>
                </c:pt>
                <c:pt idx="15">
                  <c:v>-0.30000000000000099</c:v>
                </c:pt>
                <c:pt idx="16">
                  <c:v>-0.40000000000000102</c:v>
                </c:pt>
                <c:pt idx="17">
                  <c:v>-0.500000000000001</c:v>
                </c:pt>
                <c:pt idx="18">
                  <c:v>-0.60000000000000098</c:v>
                </c:pt>
                <c:pt idx="19">
                  <c:v>-0.70000000000000095</c:v>
                </c:pt>
                <c:pt idx="20">
                  <c:v>-0.80000000000000104</c:v>
                </c:pt>
                <c:pt idx="21">
                  <c:v>-0.90000000000000102</c:v>
                </c:pt>
                <c:pt idx="22">
                  <c:v>-1</c:v>
                </c:pt>
                <c:pt idx="23">
                  <c:v>-1.1000000000000001</c:v>
                </c:pt>
                <c:pt idx="24">
                  <c:v>-1.2</c:v>
                </c:pt>
                <c:pt idx="25">
                  <c:v>-1.3</c:v>
                </c:pt>
                <c:pt idx="26">
                  <c:v>-1.4</c:v>
                </c:pt>
                <c:pt idx="27">
                  <c:v>-1.5</c:v>
                </c:pt>
                <c:pt idx="28">
                  <c:v>-1.6</c:v>
                </c:pt>
                <c:pt idx="29">
                  <c:v>-1.7</c:v>
                </c:pt>
                <c:pt idx="30">
                  <c:v>-1.8</c:v>
                </c:pt>
                <c:pt idx="31">
                  <c:v>-1.9</c:v>
                </c:pt>
                <c:pt idx="32">
                  <c:v>-2</c:v>
                </c:pt>
                <c:pt idx="33">
                  <c:v>-2.1</c:v>
                </c:pt>
                <c:pt idx="34">
                  <c:v>-2.2000000000000002</c:v>
                </c:pt>
                <c:pt idx="35">
                  <c:v>-2.2999999999999998</c:v>
                </c:pt>
                <c:pt idx="36">
                  <c:v>-2.4</c:v>
                </c:pt>
                <c:pt idx="37">
                  <c:v>-2.5</c:v>
                </c:pt>
                <c:pt idx="38">
                  <c:v>-2.6</c:v>
                </c:pt>
                <c:pt idx="39">
                  <c:v>-2.7</c:v>
                </c:pt>
                <c:pt idx="40">
                  <c:v>-2.8</c:v>
                </c:pt>
                <c:pt idx="41">
                  <c:v>-2.9</c:v>
                </c:pt>
                <c:pt idx="42">
                  <c:v>-3</c:v>
                </c:pt>
                <c:pt idx="43">
                  <c:v>-3.1</c:v>
                </c:pt>
                <c:pt idx="44">
                  <c:v>-3.2</c:v>
                </c:pt>
                <c:pt idx="45">
                  <c:v>-3.3</c:v>
                </c:pt>
                <c:pt idx="46">
                  <c:v>-3.4</c:v>
                </c:pt>
                <c:pt idx="47">
                  <c:v>-3.5</c:v>
                </c:pt>
                <c:pt idx="48">
                  <c:v>-3.6</c:v>
                </c:pt>
                <c:pt idx="49">
                  <c:v>-3.7</c:v>
                </c:pt>
                <c:pt idx="50">
                  <c:v>-3.8</c:v>
                </c:pt>
                <c:pt idx="51">
                  <c:v>-3.9</c:v>
                </c:pt>
                <c:pt idx="52">
                  <c:v>-4</c:v>
                </c:pt>
                <c:pt idx="53">
                  <c:v>-4.0999999999999996</c:v>
                </c:pt>
                <c:pt idx="54">
                  <c:v>-4.2</c:v>
                </c:pt>
                <c:pt idx="55">
                  <c:v>-4.3</c:v>
                </c:pt>
                <c:pt idx="56">
                  <c:v>-4.4000000000000004</c:v>
                </c:pt>
                <c:pt idx="57">
                  <c:v>-4.5</c:v>
                </c:pt>
                <c:pt idx="58">
                  <c:v>-4.5999999999999996</c:v>
                </c:pt>
                <c:pt idx="59">
                  <c:v>-4.7</c:v>
                </c:pt>
                <c:pt idx="60">
                  <c:v>-4.8</c:v>
                </c:pt>
                <c:pt idx="61">
                  <c:v>-4.9000000000000004</c:v>
                </c:pt>
                <c:pt idx="62">
                  <c:v>-5</c:v>
                </c:pt>
                <c:pt idx="63">
                  <c:v>-5.0999999999999996</c:v>
                </c:pt>
                <c:pt idx="64">
                  <c:v>-5.2</c:v>
                </c:pt>
                <c:pt idx="65">
                  <c:v>-5.3</c:v>
                </c:pt>
                <c:pt idx="66">
                  <c:v>-5.4</c:v>
                </c:pt>
                <c:pt idx="67">
                  <c:v>-5.5</c:v>
                </c:pt>
                <c:pt idx="68">
                  <c:v>-5.6</c:v>
                </c:pt>
                <c:pt idx="69">
                  <c:v>-5.7</c:v>
                </c:pt>
                <c:pt idx="70">
                  <c:v>-5.8</c:v>
                </c:pt>
                <c:pt idx="71">
                  <c:v>-5.9</c:v>
                </c:pt>
                <c:pt idx="72">
                  <c:v>-6</c:v>
                </c:pt>
                <c:pt idx="73">
                  <c:v>-6.1</c:v>
                </c:pt>
                <c:pt idx="74">
                  <c:v>-6.2</c:v>
                </c:pt>
                <c:pt idx="75">
                  <c:v>-6.3</c:v>
                </c:pt>
                <c:pt idx="76">
                  <c:v>-6.4</c:v>
                </c:pt>
                <c:pt idx="77">
                  <c:v>-6.5</c:v>
                </c:pt>
                <c:pt idx="78">
                  <c:v>-6.6</c:v>
                </c:pt>
                <c:pt idx="79">
                  <c:v>-6.7</c:v>
                </c:pt>
                <c:pt idx="80">
                  <c:v>-6.8</c:v>
                </c:pt>
                <c:pt idx="81">
                  <c:v>-6.9</c:v>
                </c:pt>
                <c:pt idx="82">
                  <c:v>-7</c:v>
                </c:pt>
                <c:pt idx="83">
                  <c:v>-7.1</c:v>
                </c:pt>
                <c:pt idx="84">
                  <c:v>-7.2</c:v>
                </c:pt>
                <c:pt idx="85">
                  <c:v>-7.3</c:v>
                </c:pt>
                <c:pt idx="86">
                  <c:v>-7.4</c:v>
                </c:pt>
                <c:pt idx="87">
                  <c:v>-7.5</c:v>
                </c:pt>
                <c:pt idx="88">
                  <c:v>-7.6</c:v>
                </c:pt>
                <c:pt idx="89">
                  <c:v>-7.7</c:v>
                </c:pt>
                <c:pt idx="90">
                  <c:v>-7.8</c:v>
                </c:pt>
                <c:pt idx="91">
                  <c:v>-7.9</c:v>
                </c:pt>
                <c:pt idx="92">
                  <c:v>-8</c:v>
                </c:pt>
                <c:pt idx="93">
                  <c:v>-8.1</c:v>
                </c:pt>
                <c:pt idx="94">
                  <c:v>-8.2000000000000099</c:v>
                </c:pt>
                <c:pt idx="95">
                  <c:v>-8.3000000000000096</c:v>
                </c:pt>
                <c:pt idx="96">
                  <c:v>-8.4000000000000092</c:v>
                </c:pt>
                <c:pt idx="97">
                  <c:v>-8.5</c:v>
                </c:pt>
                <c:pt idx="98">
                  <c:v>-8.6</c:v>
                </c:pt>
                <c:pt idx="99">
                  <c:v>-8.7000000000000099</c:v>
                </c:pt>
                <c:pt idx="100">
                  <c:v>-8.8000000000000096</c:v>
                </c:pt>
                <c:pt idx="101">
                  <c:v>-8.9000000000000092</c:v>
                </c:pt>
                <c:pt idx="102">
                  <c:v>-9.0000000000000107</c:v>
                </c:pt>
                <c:pt idx="103">
                  <c:v>-9.1000000000000103</c:v>
                </c:pt>
                <c:pt idx="104">
                  <c:v>-9.2000000000000099</c:v>
                </c:pt>
                <c:pt idx="105">
                  <c:v>-9.3000000000000096</c:v>
                </c:pt>
                <c:pt idx="106">
                  <c:v>-9.4000000000000092</c:v>
                </c:pt>
                <c:pt idx="107">
                  <c:v>-9.5000000000000107</c:v>
                </c:pt>
                <c:pt idx="108">
                  <c:v>-9.6000000000000103</c:v>
                </c:pt>
                <c:pt idx="109">
                  <c:v>-9.7000000000000099</c:v>
                </c:pt>
                <c:pt idx="110">
                  <c:v>-9.8000000000000096</c:v>
                </c:pt>
                <c:pt idx="111">
                  <c:v>-9.9000000000000092</c:v>
                </c:pt>
                <c:pt idx="112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A1-4601-BCE7-46BC88CBCE9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LC06_ALS!$V$66:$V$292</c:f>
              <c:numCache>
                <c:formatCode>0.00</c:formatCode>
                <c:ptCount val="2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-4.6588830377905897</c:v>
                </c:pt>
                <c:pt idx="67">
                  <c:v>-9.5818706647441196</c:v>
                </c:pt>
                <c:pt idx="68">
                  <c:v>-14.750847953830601</c:v>
                </c:pt>
                <c:pt idx="69">
                  <c:v>-20.1476989787703</c:v>
                </c:pt>
                <c:pt idx="70">
                  <c:v>-25.754306596608</c:v>
                </c:pt>
                <c:pt idx="71">
                  <c:v>-31.552552266311402</c:v>
                </c:pt>
                <c:pt idx="72">
                  <c:v>-37.524315928947502</c:v>
                </c:pt>
                <c:pt idx="73">
                  <c:v>-43.651475972630301</c:v>
                </c:pt>
                <c:pt idx="74">
                  <c:v>-49.915909300822598</c:v>
                </c:pt>
                <c:pt idx="75">
                  <c:v>-56.299491516268702</c:v>
                </c:pt>
                <c:pt idx="76">
                  <c:v>-59.0665458616363</c:v>
                </c:pt>
                <c:pt idx="77">
                  <c:v>-60.433383529841201</c:v>
                </c:pt>
                <c:pt idx="78">
                  <c:v>-61.8015075226241</c:v>
                </c:pt>
                <c:pt idx="79">
                  <c:v>-63.1708261841354</c:v>
                </c:pt>
                <c:pt idx="80">
                  <c:v>-64.541249081363802</c:v>
                </c:pt>
                <c:pt idx="81">
                  <c:v>-65.912687017533202</c:v>
                </c:pt>
                <c:pt idx="82">
                  <c:v>-67.2850520449973</c:v>
                </c:pt>
                <c:pt idx="83">
                  <c:v>-68.658257477623707</c:v>
                </c:pt>
                <c:pt idx="84">
                  <c:v>-70.032217902662694</c:v>
                </c:pt>
                <c:pt idx="85">
                  <c:v>-71.406849192094896</c:v>
                </c:pt>
                <c:pt idx="86">
                  <c:v>-72.782068513451307</c:v>
                </c:pt>
                <c:pt idx="87">
                  <c:v>-74.157794340098903</c:v>
                </c:pt>
                <c:pt idx="88">
                  <c:v>-75.533946460988503</c:v>
                </c:pt>
                <c:pt idx="89">
                  <c:v>-76.910445989855702</c:v>
                </c:pt>
                <c:pt idx="90">
                  <c:v>-78.287215373872002</c:v>
                </c:pt>
                <c:pt idx="91">
                  <c:v>-79.664178401737402</c:v>
                </c:pt>
                <c:pt idx="92">
                  <c:v>-81.041260211210997</c:v>
                </c:pt>
                <c:pt idx="93">
                  <c:v>-82.418387296072893</c:v>
                </c:pt>
                <c:pt idx="94">
                  <c:v>-83.795487512510505</c:v>
                </c:pt>
                <c:pt idx="95">
                  <c:v>-85.172490084925499</c:v>
                </c:pt>
                <c:pt idx="96">
                  <c:v>-86.549325611153805</c:v>
                </c:pt>
                <c:pt idx="97">
                  <c:v>-87.925926067094494</c:v>
                </c:pt>
                <c:pt idx="98">
                  <c:v>-89.302224810739602</c:v>
                </c:pt>
                <c:pt idx="99">
                  <c:v>-90.678156585601997</c:v>
                </c:pt>
                <c:pt idx="100">
                  <c:v>-92.053657523533403</c:v>
                </c:pt>
                <c:pt idx="101">
                  <c:v>-93.428665146927699</c:v>
                </c:pt>
                <c:pt idx="102">
                  <c:v>-94.803118370303906</c:v>
                </c:pt>
                <c:pt idx="103">
                  <c:v>-96.176957501262905</c:v>
                </c:pt>
                <c:pt idx="104">
                  <c:v>-97.550124240812806</c:v>
                </c:pt>
                <c:pt idx="105">
                  <c:v>-98.9225616830566</c:v>
                </c:pt>
                <c:pt idx="106">
                  <c:v>-100.294214314237</c:v>
                </c:pt>
                <c:pt idx="107">
                  <c:v>-101.665028011134</c:v>
                </c:pt>
                <c:pt idx="108">
                  <c:v>-103.03495003880801</c:v>
                </c:pt>
                <c:pt idx="109">
                  <c:v>-104.40392904767801</c:v>
                </c:pt>
                <c:pt idx="110">
                  <c:v>-105.771915069947</c:v>
                </c:pt>
                <c:pt idx="111">
                  <c:v>-107.13885951534699</c:v>
                </c:pt>
                <c:pt idx="112">
                  <c:v>-108.50471516620701</c:v>
                </c:pt>
                <c:pt idx="113">
                  <c:v>-109.86943617185</c:v>
                </c:pt>
                <c:pt idx="114">
                  <c:v>-111.232978042293</c:v>
                </c:pt>
                <c:pt idx="115">
                  <c:v>-112.595297641258</c:v>
                </c:pt>
                <c:pt idx="116">
                  <c:v>-113.956353178489</c:v>
                </c:pt>
                <c:pt idx="117">
                  <c:v>-114.66916420114499</c:v>
                </c:pt>
                <c:pt idx="118">
                  <c:v>-114.94115430557601</c:v>
                </c:pt>
                <c:pt idx="119">
                  <c:v>-115.18016742944999</c:v>
                </c:pt>
                <c:pt idx="120">
                  <c:v>-115.386037712209</c:v>
                </c:pt>
                <c:pt idx="121">
                  <c:v>-115.55860523346399</c:v>
                </c:pt>
                <c:pt idx="122">
                  <c:v>-115.69771597914701</c:v>
                </c:pt>
                <c:pt idx="123">
                  <c:v>-115.80322180631801</c:v>
                </c:pt>
                <c:pt idx="124">
                  <c:v>-115.874980406661</c:v>
                </c:pt>
                <c:pt idx="125">
                  <c:v>-115.912855268732</c:v>
                </c:pt>
                <c:pt idx="126">
                  <c:v>-115.084541246022</c:v>
                </c:pt>
                <c:pt idx="127">
                  <c:v>-114.264158021215</c:v>
                </c:pt>
                <c:pt idx="128">
                  <c:v>-113.42557337722801</c:v>
                </c:pt>
                <c:pt idx="129">
                  <c:v>-112.56889531159599</c:v>
                </c:pt>
                <c:pt idx="130">
                  <c:v>-111.694233465145</c:v>
                </c:pt>
                <c:pt idx="131">
                  <c:v>-110.801699089751</c:v>
                </c:pt>
                <c:pt idx="132">
                  <c:v>-109.891405016703</c:v>
                </c:pt>
                <c:pt idx="133">
                  <c:v>-108.96346562568201</c:v>
                </c:pt>
                <c:pt idx="134">
                  <c:v>-108.017996814368</c:v>
                </c:pt>
                <c:pt idx="135">
                  <c:v>-107.055115968686</c:v>
                </c:pt>
                <c:pt idx="136">
                  <c:v>-106.07494193371301</c:v>
                </c:pt>
                <c:pt idx="137">
                  <c:v>-105.07759498525201</c:v>
                </c:pt>
                <c:pt idx="138">
                  <c:v>-104.06319680208099</c:v>
                </c:pt>
                <c:pt idx="139">
                  <c:v>-103.03187043890399</c:v>
                </c:pt>
                <c:pt idx="140">
                  <c:v>-101.983740300006</c:v>
                </c:pt>
                <c:pt idx="141">
                  <c:v>-100.918932113626</c:v>
                </c:pt>
                <c:pt idx="142">
                  <c:v>-99.837572907066701</c:v>
                </c:pt>
                <c:pt idx="143">
                  <c:v>-98.739790982544903</c:v>
                </c:pt>
                <c:pt idx="144">
                  <c:v>-97.625715893804895</c:v>
                </c:pt>
                <c:pt idx="145">
                  <c:v>-96.495478423497502</c:v>
                </c:pt>
                <c:pt idx="146">
                  <c:v>-95.349210561345799</c:v>
                </c:pt>
                <c:pt idx="147">
                  <c:v>-94.187045483104001</c:v>
                </c:pt>
                <c:pt idx="148">
                  <c:v>-93.0091175303249</c:v>
                </c:pt>
                <c:pt idx="149">
                  <c:v>-91.8155621909481</c:v>
                </c:pt>
                <c:pt idx="150">
                  <c:v>-90.606516080719103</c:v>
                </c:pt>
                <c:pt idx="151">
                  <c:v>-89.382116925453303</c:v>
                </c:pt>
                <c:pt idx="152">
                  <c:v>-88.142503544157194</c:v>
                </c:pt>
                <c:pt idx="153">
                  <c:v>-86.887815833016404</c:v>
                </c:pt>
                <c:pt idx="154">
                  <c:v>-85.618194750265303</c:v>
                </c:pt>
                <c:pt idx="155">
                  <c:v>-84.333782301948105</c:v>
                </c:pt>
                <c:pt idx="156">
                  <c:v>-83.034721528583404</c:v>
                </c:pt>
                <c:pt idx="157">
                  <c:v>-81.721156492745195</c:v>
                </c:pt>
                <c:pt idx="158">
                  <c:v>-80.3932322675698</c:v>
                </c:pt>
                <c:pt idx="159">
                  <c:v>-79.051094926201699</c:v>
                </c:pt>
                <c:pt idx="160">
                  <c:v>-77.694891532189502</c:v>
                </c:pt>
                <c:pt idx="161">
                  <c:v>-76.324770130842097</c:v>
                </c:pt>
                <c:pt idx="162">
                  <c:v>-74.940879741558305</c:v>
                </c:pt>
                <c:pt idx="163">
                  <c:v>-73.543370351139302</c:v>
                </c:pt>
                <c:pt idx="164">
                  <c:v>-72.132392908095198</c:v>
                </c:pt>
                <c:pt idx="165">
                  <c:v>-70.708099317957505</c:v>
                </c:pt>
                <c:pt idx="166">
                  <c:v>-69.270642439607698</c:v>
                </c:pt>
                <c:pt idx="167">
                  <c:v>-67.820176082632599</c:v>
                </c:pt>
                <c:pt idx="168">
                  <c:v>-66.356855005716895</c:v>
                </c:pt>
                <c:pt idx="169">
                  <c:v>-64.880834916084396</c:v>
                </c:pt>
                <c:pt idx="170">
                  <c:v>-63.392272469997501</c:v>
                </c:pt>
                <c:pt idx="171">
                  <c:v>-61.891325274324899</c:v>
                </c:pt>
                <c:pt idx="172">
                  <c:v>-60.378151889188999</c:v>
                </c:pt>
                <c:pt idx="173">
                  <c:v>-58.852911831702201</c:v>
                </c:pt>
                <c:pt idx="174">
                  <c:v>-57.315765580801802</c:v>
                </c:pt>
                <c:pt idx="175">
                  <c:v>-55.7668745831946</c:v>
                </c:pt>
                <c:pt idx="176">
                  <c:v>-54.206401260419597</c:v>
                </c:pt>
                <c:pt idx="177">
                  <c:v>-52.6345090170391</c:v>
                </c:pt>
                <c:pt idx="178">
                  <c:v>-51.0513622499682</c:v>
                </c:pt>
                <c:pt idx="179">
                  <c:v>-49.457126358951001</c:v>
                </c:pt>
                <c:pt idx="180">
                  <c:v>-47.851967758194</c:v>
                </c:pt>
                <c:pt idx="181">
                  <c:v>-46.236053889164097</c:v>
                </c:pt>
                <c:pt idx="182">
                  <c:v>-44.6095532345634</c:v>
                </c:pt>
                <c:pt idx="183">
                  <c:v>-42.972635333485499</c:v>
                </c:pt>
                <c:pt idx="184">
                  <c:v>-41.325470797766002</c:v>
                </c:pt>
                <c:pt idx="185">
                  <c:v>-39.668231329533199</c:v>
                </c:pt>
                <c:pt idx="186">
                  <c:v>-1499.0514341081</c:v>
                </c:pt>
                <c:pt idx="187">
                  <c:v>-1461.65383810705</c:v>
                </c:pt>
                <c:pt idx="188">
                  <c:v>-1420.47491137406</c:v>
                </c:pt>
                <c:pt idx="189">
                  <c:v>-1375.53001266109</c:v>
                </c:pt>
                <c:pt idx="190">
                  <c:v>-1326.854516372</c:v>
                </c:pt>
                <c:pt idx="191">
                  <c:v>-1274.5032896390501</c:v>
                </c:pt>
                <c:pt idx="192">
                  <c:v>-1218.54986920241</c:v>
                </c:pt>
                <c:pt idx="193">
                  <c:v>-1159.0853637637699</c:v>
                </c:pt>
                <c:pt idx="194">
                  <c:v>-1096.2171149242099</c:v>
                </c:pt>
                <c:pt idx="195">
                  <c:v>-1030.06715569879</c:v>
                </c:pt>
                <c:pt idx="196">
                  <c:v>-960.77050972295604</c:v>
                </c:pt>
                <c:pt idx="197">
                  <c:v>-888.47337653702004</c:v>
                </c:pt>
                <c:pt idx="198">
                  <c:v>-813.33124877503201</c:v>
                </c:pt>
                <c:pt idx="199">
                  <c:v>-735.50700581262902</c:v>
                </c:pt>
                <c:pt idx="200">
                  <c:v>-655.16902564925203</c:v>
                </c:pt>
                <c:pt idx="201">
                  <c:v>-572.48935277818498</c:v>
                </c:pt>
                <c:pt idx="202">
                  <c:v>-487.64195483679401</c:v>
                </c:pt>
                <c:pt idx="203">
                  <c:v>-400.80109524662498</c:v>
                </c:pt>
                <c:pt idx="204">
                  <c:v>-312.13984315872301</c:v>
                </c:pt>
                <c:pt idx="205">
                  <c:v>-221.828736098706</c:v>
                </c:pt>
                <c:pt idx="206">
                  <c:v>-130.034605005141</c:v>
                </c:pt>
                <c:pt idx="207">
                  <c:v>-36.919566072955099</c:v>
                </c:pt>
                <c:pt idx="208">
                  <c:v>57.3598209004778</c:v>
                </c:pt>
                <c:pt idx="209">
                  <c:v>152.65323201752699</c:v>
                </c:pt>
                <c:pt idx="210">
                  <c:v>248.81710431389399</c:v>
                </c:pt>
                <c:pt idx="211">
                  <c:v>345.71501661290199</c:v>
                </c:pt>
                <c:pt idx="212">
                  <c:v>443.21793839423498</c:v>
                </c:pt>
                <c:pt idx="213">
                  <c:v>541.20436012385699</c:v>
                </c:pt>
                <c:pt idx="214">
                  <c:v>639.56031916191705</c:v>
                </c:pt>
                <c:pt idx="215">
                  <c:v>738.17933553228704</c:v>
                </c:pt>
                <c:pt idx="216">
                  <c:v>836.962271585434</c:v>
                </c:pt>
                <c:pt idx="217">
                  <c:v>935.81712900008802</c:v>
                </c:pt>
                <c:pt idx="218">
                  <c:v>1034.65879572887</c:v>
                </c:pt>
                <c:pt idx="219">
                  <c:v>1133.4087544722299</c:v>
                </c:pt>
                <c:pt idx="220">
                  <c:v>1231.99476312863</c:v>
                </c:pt>
                <c:pt idx="221">
                  <c:v>1330.3505164726701</c:v>
                </c:pt>
                <c:pt idx="222">
                  <c:v>1428.4152971025201</c:v>
                </c:pt>
                <c:pt idx="223">
                  <c:v>1526.13362251031</c:v>
                </c:pt>
                <c:pt idx="224">
                  <c:v>1623.45489399244</c:v>
                </c:pt>
                <c:pt idx="225">
                  <c:v>1720.33305205132</c:v>
                </c:pt>
              </c:numCache>
            </c:numRef>
          </c:xVal>
          <c:yVal>
            <c:numRef>
              <c:f>LC06_ALS!$Z$66:$Z$292</c:f>
              <c:numCache>
                <c:formatCode>0.00</c:formatCode>
                <c:ptCount val="227"/>
                <c:pt idx="0">
                  <c:v>1.2</c:v>
                </c:pt>
                <c:pt idx="1">
                  <c:v>1.0999999999999901</c:v>
                </c:pt>
                <c:pt idx="2">
                  <c:v>0.999999999999999</c:v>
                </c:pt>
                <c:pt idx="3">
                  <c:v>0.89999999999999902</c:v>
                </c:pt>
                <c:pt idx="4">
                  <c:v>0.79999999999999905</c:v>
                </c:pt>
                <c:pt idx="5">
                  <c:v>0.69999999999999896</c:v>
                </c:pt>
                <c:pt idx="6">
                  <c:v>0.59999999999999898</c:v>
                </c:pt>
                <c:pt idx="7">
                  <c:v>0.499999999999999</c:v>
                </c:pt>
                <c:pt idx="8">
                  <c:v>0.39999999999999902</c:v>
                </c:pt>
                <c:pt idx="9">
                  <c:v>0.29999999999999899</c:v>
                </c:pt>
                <c:pt idx="10">
                  <c:v>0.19999999999999901</c:v>
                </c:pt>
                <c:pt idx="11">
                  <c:v>9.9999999999998895E-2</c:v>
                </c:pt>
                <c:pt idx="12">
                  <c:v>-1.11022302462515E-15</c:v>
                </c:pt>
                <c:pt idx="13">
                  <c:v>-0.100000000000001</c:v>
                </c:pt>
                <c:pt idx="14">
                  <c:v>-0.20000000000000101</c:v>
                </c:pt>
                <c:pt idx="15">
                  <c:v>-0.30000000000000099</c:v>
                </c:pt>
                <c:pt idx="16">
                  <c:v>-0.40000000000000102</c:v>
                </c:pt>
                <c:pt idx="17">
                  <c:v>-0.500000000000001</c:v>
                </c:pt>
                <c:pt idx="18">
                  <c:v>-0.60000000000000098</c:v>
                </c:pt>
                <c:pt idx="19">
                  <c:v>-0.70000000000000095</c:v>
                </c:pt>
                <c:pt idx="20">
                  <c:v>-0.80000000000000104</c:v>
                </c:pt>
                <c:pt idx="21">
                  <c:v>-0.90000000000000102</c:v>
                </c:pt>
                <c:pt idx="22">
                  <c:v>-1</c:v>
                </c:pt>
                <c:pt idx="23">
                  <c:v>-1.1000000000000001</c:v>
                </c:pt>
                <c:pt idx="24">
                  <c:v>-1.2</c:v>
                </c:pt>
                <c:pt idx="25">
                  <c:v>-1.3</c:v>
                </c:pt>
                <c:pt idx="26">
                  <c:v>-1.4</c:v>
                </c:pt>
                <c:pt idx="27">
                  <c:v>-1.5</c:v>
                </c:pt>
                <c:pt idx="28">
                  <c:v>-1.6</c:v>
                </c:pt>
                <c:pt idx="29">
                  <c:v>-1.7</c:v>
                </c:pt>
                <c:pt idx="30">
                  <c:v>-1.8</c:v>
                </c:pt>
                <c:pt idx="31">
                  <c:v>-1.9</c:v>
                </c:pt>
                <c:pt idx="32">
                  <c:v>-2</c:v>
                </c:pt>
                <c:pt idx="33">
                  <c:v>-2.1</c:v>
                </c:pt>
                <c:pt idx="34">
                  <c:v>-2.2000000000000002</c:v>
                </c:pt>
                <c:pt idx="35">
                  <c:v>-2.2999999999999998</c:v>
                </c:pt>
                <c:pt idx="36">
                  <c:v>-2.4</c:v>
                </c:pt>
                <c:pt idx="37">
                  <c:v>-2.5</c:v>
                </c:pt>
                <c:pt idx="38">
                  <c:v>-2.6</c:v>
                </c:pt>
                <c:pt idx="39">
                  <c:v>-2.7</c:v>
                </c:pt>
                <c:pt idx="40">
                  <c:v>-2.8</c:v>
                </c:pt>
                <c:pt idx="41">
                  <c:v>-2.9</c:v>
                </c:pt>
                <c:pt idx="42">
                  <c:v>-3</c:v>
                </c:pt>
                <c:pt idx="43">
                  <c:v>-3.1</c:v>
                </c:pt>
                <c:pt idx="44">
                  <c:v>-3.2</c:v>
                </c:pt>
                <c:pt idx="45">
                  <c:v>-3.3</c:v>
                </c:pt>
                <c:pt idx="46">
                  <c:v>-3.4</c:v>
                </c:pt>
                <c:pt idx="47">
                  <c:v>-3.5</c:v>
                </c:pt>
                <c:pt idx="48">
                  <c:v>-3.6</c:v>
                </c:pt>
                <c:pt idx="49">
                  <c:v>-3.7</c:v>
                </c:pt>
                <c:pt idx="50">
                  <c:v>-3.8</c:v>
                </c:pt>
                <c:pt idx="51">
                  <c:v>-3.9</c:v>
                </c:pt>
                <c:pt idx="52">
                  <c:v>-4</c:v>
                </c:pt>
                <c:pt idx="53">
                  <c:v>-4.0999999999999996</c:v>
                </c:pt>
                <c:pt idx="54">
                  <c:v>-4.2</c:v>
                </c:pt>
                <c:pt idx="55">
                  <c:v>-4.3</c:v>
                </c:pt>
                <c:pt idx="56">
                  <c:v>-4.4000000000000004</c:v>
                </c:pt>
                <c:pt idx="57">
                  <c:v>-4.5</c:v>
                </c:pt>
                <c:pt idx="58">
                  <c:v>-4.5999999999999996</c:v>
                </c:pt>
                <c:pt idx="59">
                  <c:v>-4.7</c:v>
                </c:pt>
                <c:pt idx="60">
                  <c:v>-4.8</c:v>
                </c:pt>
                <c:pt idx="61">
                  <c:v>-4.9000000000000004</c:v>
                </c:pt>
                <c:pt idx="62">
                  <c:v>-5</c:v>
                </c:pt>
                <c:pt idx="63">
                  <c:v>-5.0999999999999996</c:v>
                </c:pt>
                <c:pt idx="64">
                  <c:v>-5.2</c:v>
                </c:pt>
                <c:pt idx="65">
                  <c:v>-5.3</c:v>
                </c:pt>
                <c:pt idx="66">
                  <c:v>-5.4</c:v>
                </c:pt>
                <c:pt idx="67">
                  <c:v>-5.5</c:v>
                </c:pt>
                <c:pt idx="68">
                  <c:v>-5.6</c:v>
                </c:pt>
                <c:pt idx="69">
                  <c:v>-5.7</c:v>
                </c:pt>
                <c:pt idx="70">
                  <c:v>-5.8</c:v>
                </c:pt>
                <c:pt idx="71">
                  <c:v>-5.9</c:v>
                </c:pt>
                <c:pt idx="72">
                  <c:v>-6</c:v>
                </c:pt>
                <c:pt idx="73">
                  <c:v>-6.1</c:v>
                </c:pt>
                <c:pt idx="74">
                  <c:v>-6.2</c:v>
                </c:pt>
                <c:pt idx="75">
                  <c:v>-6.3</c:v>
                </c:pt>
                <c:pt idx="76">
                  <c:v>-6.4</c:v>
                </c:pt>
                <c:pt idx="77">
                  <c:v>-6.5</c:v>
                </c:pt>
                <c:pt idx="78">
                  <c:v>-6.6</c:v>
                </c:pt>
                <c:pt idx="79">
                  <c:v>-6.7</c:v>
                </c:pt>
                <c:pt idx="80">
                  <c:v>-6.8</c:v>
                </c:pt>
                <c:pt idx="81">
                  <c:v>-6.9</c:v>
                </c:pt>
                <c:pt idx="82">
                  <c:v>-7</c:v>
                </c:pt>
                <c:pt idx="83">
                  <c:v>-7.1</c:v>
                </c:pt>
                <c:pt idx="84">
                  <c:v>-7.2</c:v>
                </c:pt>
                <c:pt idx="85">
                  <c:v>-7.3</c:v>
                </c:pt>
                <c:pt idx="86">
                  <c:v>-7.4</c:v>
                </c:pt>
                <c:pt idx="87">
                  <c:v>-7.5</c:v>
                </c:pt>
                <c:pt idx="88">
                  <c:v>-7.6</c:v>
                </c:pt>
                <c:pt idx="89">
                  <c:v>-7.7</c:v>
                </c:pt>
                <c:pt idx="90">
                  <c:v>-7.8</c:v>
                </c:pt>
                <c:pt idx="91">
                  <c:v>-7.9</c:v>
                </c:pt>
                <c:pt idx="92">
                  <c:v>-8</c:v>
                </c:pt>
                <c:pt idx="93">
                  <c:v>-8.1</c:v>
                </c:pt>
                <c:pt idx="94">
                  <c:v>-8.2000000000000099</c:v>
                </c:pt>
                <c:pt idx="95">
                  <c:v>-8.3000000000000096</c:v>
                </c:pt>
                <c:pt idx="96">
                  <c:v>-8.4000000000000092</c:v>
                </c:pt>
                <c:pt idx="97">
                  <c:v>-8.5</c:v>
                </c:pt>
                <c:pt idx="98">
                  <c:v>-8.6</c:v>
                </c:pt>
                <c:pt idx="99">
                  <c:v>-8.7000000000000099</c:v>
                </c:pt>
                <c:pt idx="100">
                  <c:v>-8.8000000000000096</c:v>
                </c:pt>
                <c:pt idx="101">
                  <c:v>-8.9000000000000092</c:v>
                </c:pt>
                <c:pt idx="102">
                  <c:v>-9.0000000000000107</c:v>
                </c:pt>
                <c:pt idx="103">
                  <c:v>-9.1000000000000103</c:v>
                </c:pt>
                <c:pt idx="104">
                  <c:v>-9.2000000000000099</c:v>
                </c:pt>
                <c:pt idx="105">
                  <c:v>-9.3000000000000096</c:v>
                </c:pt>
                <c:pt idx="106">
                  <c:v>-9.4000000000000092</c:v>
                </c:pt>
                <c:pt idx="107">
                  <c:v>-9.5000000000000107</c:v>
                </c:pt>
                <c:pt idx="108">
                  <c:v>-9.6000000000000103</c:v>
                </c:pt>
                <c:pt idx="109">
                  <c:v>-9.7000000000000099</c:v>
                </c:pt>
                <c:pt idx="110">
                  <c:v>-9.8000000000000096</c:v>
                </c:pt>
                <c:pt idx="111">
                  <c:v>-9.9000000000000092</c:v>
                </c:pt>
                <c:pt idx="112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89-4754-95F9-AEC9C19ED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03855"/>
        <c:axId val="1910445519"/>
      </c:scatterChart>
      <c:valAx>
        <c:axId val="1959703855"/>
        <c:scaling>
          <c:orientation val="minMax"/>
          <c:max val="200"/>
          <c:min val="-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</a:t>
                </a:r>
                <a:r>
                  <a:rPr lang="en-GB" baseline="0"/>
                  <a:t> [kN/m]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6251211461302701"/>
              <c:y val="6.52599113195523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in"/>
        <c:minorTickMark val="in"/>
        <c:tickLblPos val="high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5519"/>
        <c:crossesAt val="2"/>
        <c:crossBetween val="midCat"/>
      </c:valAx>
      <c:valAx>
        <c:axId val="1910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Z-level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03855"/>
        <c:crossesAt val="-2000"/>
        <c:crossBetween val="midCat"/>
        <c:majorUnit val="2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4870717335529"/>
          <c:y val="0.19342712228956568"/>
          <c:w val="0.15975822544114929"/>
          <c:h val="0.2189467676387236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LC06_ALS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47299131765144"/>
          <c:y val="0.1405222144354106"/>
          <c:w val="0.8231214189706052"/>
          <c:h val="0.800005352271453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LC06_ALS!$A$4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LC06_ALS!$M$4:$M$34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-75.555555555555472</c:v>
                </c:pt>
                <c:pt idx="12">
                  <c:v>-73.70370370370361</c:v>
                </c:pt>
                <c:pt idx="13">
                  <c:v>-82.857142857142946</c:v>
                </c:pt>
                <c:pt idx="14">
                  <c:v>-93.142857142857181</c:v>
                </c:pt>
                <c:pt idx="15">
                  <c:v>-104.28571428571426</c:v>
                </c:pt>
                <c:pt idx="16">
                  <c:v>-111.94444444444422</c:v>
                </c:pt>
                <c:pt idx="17">
                  <c:v>-125.14285714285731</c:v>
                </c:pt>
                <c:pt idx="18">
                  <c:v>-127.31707317073163</c:v>
                </c:pt>
                <c:pt idx="19">
                  <c:v>-116.66666666666669</c:v>
                </c:pt>
                <c:pt idx="20">
                  <c:v>-109.51219512195127</c:v>
                </c:pt>
                <c:pt idx="21">
                  <c:v>-97.727272727272833</c:v>
                </c:pt>
                <c:pt idx="22">
                  <c:v>-84.545454545454447</c:v>
                </c:pt>
                <c:pt idx="23">
                  <c:v>-70.454545454545539</c:v>
                </c:pt>
                <c:pt idx="24">
                  <c:v>-55.227272727272705</c:v>
                </c:pt>
                <c:pt idx="25">
                  <c:v>-724.39024390243878</c:v>
                </c:pt>
                <c:pt idx="26">
                  <c:v>-1017.8571428571429</c:v>
                </c:pt>
                <c:pt idx="27">
                  <c:v>-290.00000000000011</c:v>
                </c:pt>
                <c:pt idx="28">
                  <c:v>369.23076923076951</c:v>
                </c:pt>
                <c:pt idx="29">
                  <c:v>909.60000000000014</c:v>
                </c:pt>
                <c:pt idx="30">
                  <c:v>1477.2</c:v>
                </c:pt>
              </c:numCache>
            </c:numRef>
          </c:xVal>
          <c:yVal>
            <c:numRef>
              <c:f>LC06_ALS!$E$4:$E$34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1-4601-BCE7-46BC88CBCE92}"/>
            </c:ext>
          </c:extLst>
        </c:ser>
        <c:ser>
          <c:idx val="1"/>
          <c:order val="1"/>
          <c:tx>
            <c:strRef>
              <c:f>LC06_ALS!$A$35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LC06_ALS!$M$35:$M$65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-76.296296296296376</c:v>
                </c:pt>
                <c:pt idx="12">
                  <c:v>-74.074074074074076</c:v>
                </c:pt>
                <c:pt idx="13">
                  <c:v>-83.142857142857295</c:v>
                </c:pt>
                <c:pt idx="14">
                  <c:v>-93.714285714285566</c:v>
                </c:pt>
                <c:pt idx="15">
                  <c:v>-104.85714285714296</c:v>
                </c:pt>
                <c:pt idx="16">
                  <c:v>-112.49999999999974</c:v>
                </c:pt>
                <c:pt idx="17">
                  <c:v>-126.0000000000002</c:v>
                </c:pt>
                <c:pt idx="18">
                  <c:v>-129.02439024390233</c:v>
                </c:pt>
                <c:pt idx="19">
                  <c:v>-119.28571428571436</c:v>
                </c:pt>
                <c:pt idx="20">
                  <c:v>-112.19512195121948</c:v>
                </c:pt>
                <c:pt idx="21">
                  <c:v>-99.772727272727337</c:v>
                </c:pt>
                <c:pt idx="22">
                  <c:v>-86.590909090909065</c:v>
                </c:pt>
                <c:pt idx="23">
                  <c:v>-72.045454545454604</c:v>
                </c:pt>
                <c:pt idx="24">
                  <c:v>-56.363636363636338</c:v>
                </c:pt>
                <c:pt idx="25">
                  <c:v>-740.24390243902417</c:v>
                </c:pt>
                <c:pt idx="26">
                  <c:v>-1039.5238095238096</c:v>
                </c:pt>
                <c:pt idx="27">
                  <c:v>-293.90243902439016</c:v>
                </c:pt>
                <c:pt idx="28">
                  <c:v>381.5384615384616</c:v>
                </c:pt>
                <c:pt idx="29">
                  <c:v>934.80000000000018</c:v>
                </c:pt>
                <c:pt idx="30">
                  <c:v>1516</c:v>
                </c:pt>
              </c:numCache>
            </c:numRef>
          </c:xVal>
          <c:yVal>
            <c:numRef>
              <c:f>LC06_ALS!$E$35:$E$65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A1-4601-BCE7-46BC88CBCE92}"/>
            </c:ext>
          </c:extLst>
        </c:ser>
        <c:ser>
          <c:idx val="2"/>
          <c:order val="2"/>
          <c:tx>
            <c:strRef>
              <c:f>LC06_ALS!$A$66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LC06_ALS!$M$66:$M$96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-75.555555555555472</c:v>
                </c:pt>
                <c:pt idx="12">
                  <c:v>-73.333333333333584</c:v>
                </c:pt>
                <c:pt idx="13">
                  <c:v>-81.999999999999886</c:v>
                </c:pt>
                <c:pt idx="14">
                  <c:v>-92.857142857142833</c:v>
                </c:pt>
                <c:pt idx="15">
                  <c:v>-104.00000000000007</c:v>
                </c:pt>
                <c:pt idx="16">
                  <c:v>-111.3888888888887</c:v>
                </c:pt>
                <c:pt idx="17">
                  <c:v>-124.57142857142877</c:v>
                </c:pt>
                <c:pt idx="18">
                  <c:v>-125.60975609756093</c:v>
                </c:pt>
                <c:pt idx="19">
                  <c:v>-114.5238095238096</c:v>
                </c:pt>
                <c:pt idx="20">
                  <c:v>-107.56097560975597</c:v>
                </c:pt>
                <c:pt idx="21">
                  <c:v>-95.909090909091063</c:v>
                </c:pt>
                <c:pt idx="22">
                  <c:v>-82.954545454545382</c:v>
                </c:pt>
                <c:pt idx="23">
                  <c:v>-68.863636363636402</c:v>
                </c:pt>
                <c:pt idx="24">
                  <c:v>-54.090909090909072</c:v>
                </c:pt>
                <c:pt idx="25">
                  <c:v>-709.26829268292659</c:v>
                </c:pt>
                <c:pt idx="26">
                  <c:v>-995.4761904761906</c:v>
                </c:pt>
                <c:pt idx="27">
                  <c:v>-280.00000000000006</c:v>
                </c:pt>
                <c:pt idx="28">
                  <c:v>368.07692307692355</c:v>
                </c:pt>
                <c:pt idx="29">
                  <c:v>899.2</c:v>
                </c:pt>
                <c:pt idx="30">
                  <c:v>1456.8</c:v>
                </c:pt>
              </c:numCache>
            </c:numRef>
          </c:xVal>
          <c:yVal>
            <c:numRef>
              <c:f>LC06_ALS!$E$66:$E$96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A1-4601-BCE7-46BC88CBCE92}"/>
            </c:ext>
          </c:extLst>
        </c:ser>
        <c:ser>
          <c:idx val="3"/>
          <c:order val="3"/>
          <c:tx>
            <c:strRef>
              <c:f>LC06_ALS!$A$97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LC06_ALS!$M$97:$M$127</c:f>
              <c:numCache>
                <c:formatCode>0.00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-18.857142857142918</c:v>
                </c:pt>
                <c:pt idx="10">
                  <c:v>-59.999999999999986</c:v>
                </c:pt>
                <c:pt idx="11">
                  <c:v>-75.925925925925924</c:v>
                </c:pt>
                <c:pt idx="12">
                  <c:v>-73.70370370370361</c:v>
                </c:pt>
                <c:pt idx="13">
                  <c:v>-82.571428571428584</c:v>
                </c:pt>
                <c:pt idx="14">
                  <c:v>-93.42857142857153</c:v>
                </c:pt>
                <c:pt idx="15">
                  <c:v>-104.57142857142844</c:v>
                </c:pt>
                <c:pt idx="16">
                  <c:v>-111.94444444444437</c:v>
                </c:pt>
                <c:pt idx="17">
                  <c:v>-125.42857142857149</c:v>
                </c:pt>
                <c:pt idx="18">
                  <c:v>-127.56097560975608</c:v>
                </c:pt>
                <c:pt idx="19">
                  <c:v>-117.14285714285714</c:v>
                </c:pt>
                <c:pt idx="20">
                  <c:v>-110.24390243902447</c:v>
                </c:pt>
                <c:pt idx="21">
                  <c:v>-97.954545454545482</c:v>
                </c:pt>
                <c:pt idx="22">
                  <c:v>-84.999999999999943</c:v>
                </c:pt>
                <c:pt idx="23">
                  <c:v>-70.681818181818244</c:v>
                </c:pt>
                <c:pt idx="24">
                  <c:v>-55.454545454545418</c:v>
                </c:pt>
                <c:pt idx="25">
                  <c:v>-725.85365853658516</c:v>
                </c:pt>
                <c:pt idx="26">
                  <c:v>-1019.0476190476194</c:v>
                </c:pt>
                <c:pt idx="27">
                  <c:v>-286.58536585365846</c:v>
                </c:pt>
                <c:pt idx="28">
                  <c:v>376.92307692307725</c:v>
                </c:pt>
                <c:pt idx="29">
                  <c:v>920.80000000000018</c:v>
                </c:pt>
                <c:pt idx="30">
                  <c:v>1492</c:v>
                </c:pt>
              </c:numCache>
            </c:numRef>
          </c:xVal>
          <c:yVal>
            <c:numRef>
              <c:f>LC06_ALS!$E$97:$E$127</c:f>
              <c:numCache>
                <c:formatCode>0.00</c:formatCode>
                <c:ptCount val="31"/>
                <c:pt idx="0">
                  <c:v>1.24</c:v>
                </c:pt>
                <c:pt idx="1">
                  <c:v>0.83</c:v>
                </c:pt>
                <c:pt idx="2">
                  <c:v>0.43</c:v>
                </c:pt>
                <c:pt idx="3">
                  <c:v>0.02</c:v>
                </c:pt>
                <c:pt idx="4">
                  <c:v>-0.38</c:v>
                </c:pt>
                <c:pt idx="5">
                  <c:v>-0.79</c:v>
                </c:pt>
                <c:pt idx="6">
                  <c:v>-1.19</c:v>
                </c:pt>
                <c:pt idx="7">
                  <c:v>-1.6</c:v>
                </c:pt>
                <c:pt idx="8">
                  <c:v>-2</c:v>
                </c:pt>
                <c:pt idx="9">
                  <c:v>-2.35</c:v>
                </c:pt>
                <c:pt idx="10">
                  <c:v>-2.7</c:v>
                </c:pt>
                <c:pt idx="11">
                  <c:v>-2.97</c:v>
                </c:pt>
                <c:pt idx="12">
                  <c:v>-3.24</c:v>
                </c:pt>
                <c:pt idx="13">
                  <c:v>-3.59</c:v>
                </c:pt>
                <c:pt idx="14">
                  <c:v>-3.94</c:v>
                </c:pt>
                <c:pt idx="15">
                  <c:v>-4.29</c:v>
                </c:pt>
                <c:pt idx="16">
                  <c:v>-4.6500000000000004</c:v>
                </c:pt>
                <c:pt idx="17">
                  <c:v>-5</c:v>
                </c:pt>
                <c:pt idx="18">
                  <c:v>-5.41</c:v>
                </c:pt>
                <c:pt idx="19">
                  <c:v>-5.83</c:v>
                </c:pt>
                <c:pt idx="20">
                  <c:v>-6.24</c:v>
                </c:pt>
                <c:pt idx="21">
                  <c:v>-6.68</c:v>
                </c:pt>
                <c:pt idx="22">
                  <c:v>-7.12</c:v>
                </c:pt>
                <c:pt idx="23">
                  <c:v>-7.56</c:v>
                </c:pt>
                <c:pt idx="24">
                  <c:v>-8</c:v>
                </c:pt>
                <c:pt idx="25">
                  <c:v>-8.41</c:v>
                </c:pt>
                <c:pt idx="26">
                  <c:v>-8.83</c:v>
                </c:pt>
                <c:pt idx="27">
                  <c:v>-9.24</c:v>
                </c:pt>
                <c:pt idx="28">
                  <c:v>-9.5</c:v>
                </c:pt>
                <c:pt idx="29">
                  <c:v>-9.75</c:v>
                </c:pt>
                <c:pt idx="3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A1-4601-BCE7-46BC88CBCE92}"/>
            </c:ext>
          </c:extLst>
        </c:ser>
        <c:ser>
          <c:idx val="4"/>
          <c:order val="4"/>
          <c:spPr>
            <a:ln w="317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LC06_ALS!$AD$66:$AD$300</c:f>
              <c:numCache>
                <c:formatCode>0.00</c:formatCode>
                <c:ptCount val="235"/>
                <c:pt idx="1">
                  <c:v>6.1345531321421435E-7</c:v>
                </c:pt>
                <c:pt idx="2">
                  <c:v>-3.6802703107243184E-6</c:v>
                </c:pt>
                <c:pt idx="3">
                  <c:v>-7.9739049851923499E-6</c:v>
                </c:pt>
                <c:pt idx="4">
                  <c:v>-7.9738799740880461E-6</c:v>
                </c:pt>
                <c:pt idx="5">
                  <c:v>-5.5204304771905282E-6</c:v>
                </c:pt>
                <c:pt idx="6">
                  <c:v>-4.9070399654738148E-6</c:v>
                </c:pt>
                <c:pt idx="7">
                  <c:v>-3.3735398119461033E-6</c:v>
                </c:pt>
                <c:pt idx="8">
                  <c:v>-1.8401146917312872E-6</c:v>
                </c:pt>
                <c:pt idx="9">
                  <c:v>-1.5334552472268115E-6</c:v>
                </c:pt>
                <c:pt idx="10">
                  <c:v>-3.3735904025888868E-6</c:v>
                </c:pt>
                <c:pt idx="11">
                  <c:v>-3.3735648230503991E-6</c:v>
                </c:pt>
                <c:pt idx="12">
                  <c:v>-2.1468144950631553E-6</c:v>
                </c:pt>
                <c:pt idx="13">
                  <c:v>-5.5204299087563439E-6</c:v>
                </c:pt>
                <c:pt idx="14">
                  <c:v>-4.6003401621419471E-6</c:v>
                </c:pt>
                <c:pt idx="15">
                  <c:v>-9.2001982920919545E-7</c:v>
                </c:pt>
                <c:pt idx="16">
                  <c:v>-1.2267452120795497E-6</c:v>
                </c:pt>
                <c:pt idx="17">
                  <c:v>-2.7602249019764717E-6</c:v>
                </c:pt>
                <c:pt idx="18">
                  <c:v>-4.6003145826034606E-6</c:v>
                </c:pt>
                <c:pt idx="19">
                  <c:v>-5.5204054660862295E-6</c:v>
                </c:pt>
                <c:pt idx="20">
                  <c:v>-4.6003401621419454E-6</c:v>
                </c:pt>
                <c:pt idx="21">
                  <c:v>-3.6802498470933833E-6</c:v>
                </c:pt>
                <c:pt idx="22">
                  <c:v>-3.3735904025889042E-6</c:v>
                </c:pt>
                <c:pt idx="23">
                  <c:v>-1.5334302361225131E-6</c:v>
                </c:pt>
                <c:pt idx="24">
                  <c:v>6.1338539580901862E-7</c:v>
                </c:pt>
                <c:pt idx="25">
                  <c:v>-2.5011104298755533E-11</c:v>
                </c:pt>
                <c:pt idx="26">
                  <c:v>-2.4535199827369074E-6</c:v>
                </c:pt>
                <c:pt idx="27">
                  <c:v>-3.0668849149151331E-6</c:v>
                </c:pt>
                <c:pt idx="28">
                  <c:v>-2.4534949716326086E-6</c:v>
                </c:pt>
                <c:pt idx="29">
                  <c:v>-2.1468150634973431E-6</c:v>
                </c:pt>
                <c:pt idx="30">
                  <c:v>-2.4535000875403061E-6</c:v>
                </c:pt>
                <c:pt idx="31">
                  <c:v>-3.373564823050402E-6</c:v>
                </c:pt>
                <c:pt idx="32">
                  <c:v>-4.2936551380989798E-6</c:v>
                </c:pt>
                <c:pt idx="33">
                  <c:v>-4.2936551380989798E-6</c:v>
                </c:pt>
                <c:pt idx="34">
                  <c:v>-9.2006985141779423E-7</c:v>
                </c:pt>
                <c:pt idx="35">
                  <c:v>-1.2267497595530602E-6</c:v>
                </c:pt>
                <c:pt idx="36">
                  <c:v>-4.9069950591729097E-6</c:v>
                </c:pt>
                <c:pt idx="37">
                  <c:v>-3.3735648230503982E-6</c:v>
                </c:pt>
                <c:pt idx="38">
                  <c:v>-2.7602249019764688E-6</c:v>
                </c:pt>
                <c:pt idx="39">
                  <c:v>-3.6802703107241592E-6</c:v>
                </c:pt>
                <c:pt idx="40">
                  <c:v>-4.2936352429023887E-6</c:v>
                </c:pt>
                <c:pt idx="41">
                  <c:v>-5.8270899216950005E-6</c:v>
                </c:pt>
                <c:pt idx="42">
                  <c:v>-3.6802498470933608E-6</c:v>
                </c:pt>
                <c:pt idx="43">
                  <c:v>-2.1468150634973405E-6</c:v>
                </c:pt>
                <c:pt idx="44">
                  <c:v>-3.3735852866811957E-6</c:v>
                </c:pt>
                <c:pt idx="45">
                  <c:v>-3.9869547663329336E-6</c:v>
                </c:pt>
                <c:pt idx="46">
                  <c:v>-4.2936596855724887E-6</c:v>
                </c:pt>
                <c:pt idx="47">
                  <c:v>-2.4535199827369049E-6</c:v>
                </c:pt>
                <c:pt idx="48">
                  <c:v>-9.2004029283998449E-7</c:v>
                </c:pt>
                <c:pt idx="49">
                  <c:v>-1.5334302361225148E-6</c:v>
                </c:pt>
                <c:pt idx="50">
                  <c:v>-2.4535245302104192E-6</c:v>
                </c:pt>
                <c:pt idx="51">
                  <c:v>-2.7602050067798675E-6</c:v>
                </c:pt>
                <c:pt idx="52">
                  <c:v>-9.2006530394428537E-7</c:v>
                </c:pt>
                <c:pt idx="53">
                  <c:v>-9.2006473551009464E-7</c:v>
                </c:pt>
                <c:pt idx="54">
                  <c:v>-2.7601799956755687E-6</c:v>
                </c:pt>
                <c:pt idx="55">
                  <c:v>-2.4535199827369049E-6</c:v>
                </c:pt>
                <c:pt idx="56">
                  <c:v>-2.1468400746016393E-6</c:v>
                </c:pt>
                <c:pt idx="57">
                  <c:v>-2.760179995675581E-6</c:v>
                </c:pt>
                <c:pt idx="58">
                  <c:v>-3.3735648230503982E-6</c:v>
                </c:pt>
                <c:pt idx="59">
                  <c:v>-3.6802703107241507E-6</c:v>
                </c:pt>
                <c:pt idx="60">
                  <c:v>-2.7602050067798675E-6</c:v>
                </c:pt>
                <c:pt idx="61">
                  <c:v>-2.4535097509215099E-6</c:v>
                </c:pt>
                <c:pt idx="62">
                  <c:v>-4.293635242902398E-6</c:v>
                </c:pt>
                <c:pt idx="63">
                  <c:v>-4.6003299303265479E-6</c:v>
                </c:pt>
                <c:pt idx="64">
                  <c:v>-3.0668945782963394E-6</c:v>
                </c:pt>
                <c:pt idx="65">
                  <c:v>-0.58232359542500889</c:v>
                </c:pt>
                <c:pt idx="66">
                  <c:v>-2.3622986838603288</c:v>
                </c:pt>
                <c:pt idx="67">
                  <c:v>-4.8213631663100101</c:v>
                </c:pt>
                <c:pt idx="68">
                  <c:v>-7.4034144092701064</c:v>
                </c:pt>
                <c:pt idx="69">
                  <c:v>-10.09939282917002</c:v>
                </c:pt>
                <c:pt idx="70">
                  <c:v>-12.900240682610036</c:v>
                </c:pt>
                <c:pt idx="71">
                  <c:v>-15.79690329301512</c:v>
                </c:pt>
                <c:pt idx="72">
                  <c:v>-18.780316169774732</c:v>
                </c:pt>
                <c:pt idx="73">
                  <c:v>-21.841418502585253</c:v>
                </c:pt>
                <c:pt idx="74">
                  <c:v>-24.971153161400231</c:v>
                </c:pt>
                <c:pt idx="75">
                  <c:v>-27.695942835859999</c:v>
                </c:pt>
                <c:pt idx="76">
                  <c:v>-29.356687486715007</c:v>
                </c:pt>
                <c:pt idx="77">
                  <c:v>-30.215384198439885</c:v>
                </c:pt>
                <c:pt idx="78">
                  <c:v>-30.899393798889577</c:v>
                </c:pt>
                <c:pt idx="79">
                  <c:v>-31.584003282384828</c:v>
                </c:pt>
                <c:pt idx="80">
                  <c:v>-32.269164192144871</c:v>
                </c:pt>
                <c:pt idx="81">
                  <c:v>-32.954829604785203</c:v>
                </c:pt>
                <c:pt idx="82">
                  <c:v>-33.640957810630546</c:v>
                </c:pt>
                <c:pt idx="83">
                  <c:v>-34.327508326794572</c:v>
                </c:pt>
                <c:pt idx="84">
                  <c:v>-35.014437603494997</c:v>
                </c:pt>
                <c:pt idx="85">
                  <c:v>-35.701700557445378</c:v>
                </c:pt>
                <c:pt idx="86">
                  <c:v>-36.389257319139539</c:v>
                </c:pt>
                <c:pt idx="87">
                  <c:v>-37.077066638995142</c:v>
                </c:pt>
                <c:pt idx="88">
                  <c:v>-37.765087114000231</c:v>
                </c:pt>
                <c:pt idx="89">
                  <c:v>-38.453282094844745</c:v>
                </c:pt>
                <c:pt idx="90">
                  <c:v>-39.141613092140197</c:v>
                </c:pt>
                <c:pt idx="91">
                  <c:v>-39.830041463085273</c:v>
                </c:pt>
                <c:pt idx="92">
                  <c:v>-40.518527798179917</c:v>
                </c:pt>
                <c:pt idx="93">
                  <c:v>-41.207035448142847</c:v>
                </c:pt>
                <c:pt idx="94">
                  <c:v>-41.895530063842635</c:v>
                </c:pt>
                <c:pt idx="95">
                  <c:v>-42.583976069390282</c:v>
                </c:pt>
                <c:pt idx="96">
                  <c:v>-43.272337428847237</c:v>
                </c:pt>
                <c:pt idx="97">
                  <c:v>-43.96058055982207</c:v>
                </c:pt>
                <c:pt idx="98">
                  <c:v>-44.648674026727853</c:v>
                </c:pt>
                <c:pt idx="99">
                  <c:v>-45.33658409380282</c:v>
                </c:pt>
                <c:pt idx="100">
                  <c:v>-46.024278252045455</c:v>
                </c:pt>
                <c:pt idx="101">
                  <c:v>-46.711724912529213</c:v>
                </c:pt>
                <c:pt idx="102">
                  <c:v>-47.398893713074443</c:v>
                </c:pt>
                <c:pt idx="103">
                  <c:v>-48.08575674499042</c:v>
                </c:pt>
                <c:pt idx="104">
                  <c:v>-48.772284259500395</c:v>
                </c:pt>
                <c:pt idx="105">
                  <c:v>-49.458444207640078</c:v>
                </c:pt>
                <c:pt idx="106">
                  <c:v>-50.144208834049394</c:v>
                </c:pt>
                <c:pt idx="107">
                  <c:v>-50.829556823894976</c:v>
                </c:pt>
                <c:pt idx="108">
                  <c:v>-51.51446072855056</c:v>
                </c:pt>
                <c:pt idx="109">
                  <c:v>-52.198890799189897</c:v>
                </c:pt>
                <c:pt idx="110">
                  <c:v>-52.88282434084995</c:v>
                </c:pt>
                <c:pt idx="111">
                  <c:v>-53.566236511757964</c:v>
                </c:pt>
                <c:pt idx="112">
                  <c:v>-1.0959414950218147</c:v>
                </c:pt>
              </c:numCache>
            </c:numRef>
          </c:xVal>
          <c:yVal>
            <c:numRef>
              <c:f>LC06_ALS!$Z$66:$Z$300</c:f>
              <c:numCache>
                <c:formatCode>0.00</c:formatCode>
                <c:ptCount val="235"/>
                <c:pt idx="0">
                  <c:v>1.2</c:v>
                </c:pt>
                <c:pt idx="1">
                  <c:v>1.0999999999999901</c:v>
                </c:pt>
                <c:pt idx="2">
                  <c:v>0.999999999999999</c:v>
                </c:pt>
                <c:pt idx="3">
                  <c:v>0.89999999999999902</c:v>
                </c:pt>
                <c:pt idx="4">
                  <c:v>0.79999999999999905</c:v>
                </c:pt>
                <c:pt idx="5">
                  <c:v>0.69999999999999896</c:v>
                </c:pt>
                <c:pt idx="6">
                  <c:v>0.59999999999999898</c:v>
                </c:pt>
                <c:pt idx="7">
                  <c:v>0.499999999999999</c:v>
                </c:pt>
                <c:pt idx="8">
                  <c:v>0.39999999999999902</c:v>
                </c:pt>
                <c:pt idx="9">
                  <c:v>0.29999999999999899</c:v>
                </c:pt>
                <c:pt idx="10">
                  <c:v>0.19999999999999901</c:v>
                </c:pt>
                <c:pt idx="11">
                  <c:v>9.9999999999998895E-2</c:v>
                </c:pt>
                <c:pt idx="12">
                  <c:v>-1.11022302462515E-15</c:v>
                </c:pt>
                <c:pt idx="13">
                  <c:v>-0.100000000000001</c:v>
                </c:pt>
                <c:pt idx="14">
                  <c:v>-0.20000000000000101</c:v>
                </c:pt>
                <c:pt idx="15">
                  <c:v>-0.30000000000000099</c:v>
                </c:pt>
                <c:pt idx="16">
                  <c:v>-0.40000000000000102</c:v>
                </c:pt>
                <c:pt idx="17">
                  <c:v>-0.500000000000001</c:v>
                </c:pt>
                <c:pt idx="18">
                  <c:v>-0.60000000000000098</c:v>
                </c:pt>
                <c:pt idx="19">
                  <c:v>-0.70000000000000095</c:v>
                </c:pt>
                <c:pt idx="20">
                  <c:v>-0.80000000000000104</c:v>
                </c:pt>
                <c:pt idx="21">
                  <c:v>-0.90000000000000102</c:v>
                </c:pt>
                <c:pt idx="22">
                  <c:v>-1</c:v>
                </c:pt>
                <c:pt idx="23">
                  <c:v>-1.1000000000000001</c:v>
                </c:pt>
                <c:pt idx="24">
                  <c:v>-1.2</c:v>
                </c:pt>
                <c:pt idx="25">
                  <c:v>-1.3</c:v>
                </c:pt>
                <c:pt idx="26">
                  <c:v>-1.4</c:v>
                </c:pt>
                <c:pt idx="27">
                  <c:v>-1.5</c:v>
                </c:pt>
                <c:pt idx="28">
                  <c:v>-1.6</c:v>
                </c:pt>
                <c:pt idx="29">
                  <c:v>-1.7</c:v>
                </c:pt>
                <c:pt idx="30">
                  <c:v>-1.8</c:v>
                </c:pt>
                <c:pt idx="31">
                  <c:v>-1.9</c:v>
                </c:pt>
                <c:pt idx="32">
                  <c:v>-2</c:v>
                </c:pt>
                <c:pt idx="33">
                  <c:v>-2.1</c:v>
                </c:pt>
                <c:pt idx="34">
                  <c:v>-2.2000000000000002</c:v>
                </c:pt>
                <c:pt idx="35">
                  <c:v>-2.2999999999999998</c:v>
                </c:pt>
                <c:pt idx="36">
                  <c:v>-2.4</c:v>
                </c:pt>
                <c:pt idx="37">
                  <c:v>-2.5</c:v>
                </c:pt>
                <c:pt idx="38">
                  <c:v>-2.6</c:v>
                </c:pt>
                <c:pt idx="39">
                  <c:v>-2.7</c:v>
                </c:pt>
                <c:pt idx="40">
                  <c:v>-2.8</c:v>
                </c:pt>
                <c:pt idx="41">
                  <c:v>-2.9</c:v>
                </c:pt>
                <c:pt idx="42">
                  <c:v>-3</c:v>
                </c:pt>
                <c:pt idx="43">
                  <c:v>-3.1</c:v>
                </c:pt>
                <c:pt idx="44">
                  <c:v>-3.2</c:v>
                </c:pt>
                <c:pt idx="45">
                  <c:v>-3.3</c:v>
                </c:pt>
                <c:pt idx="46">
                  <c:v>-3.4</c:v>
                </c:pt>
                <c:pt idx="47">
                  <c:v>-3.5</c:v>
                </c:pt>
                <c:pt idx="48">
                  <c:v>-3.6</c:v>
                </c:pt>
                <c:pt idx="49">
                  <c:v>-3.7</c:v>
                </c:pt>
                <c:pt idx="50">
                  <c:v>-3.8</c:v>
                </c:pt>
                <c:pt idx="51">
                  <c:v>-3.9</c:v>
                </c:pt>
                <c:pt idx="52">
                  <c:v>-4</c:v>
                </c:pt>
                <c:pt idx="53">
                  <c:v>-4.0999999999999996</c:v>
                </c:pt>
                <c:pt idx="54">
                  <c:v>-4.2</c:v>
                </c:pt>
                <c:pt idx="55">
                  <c:v>-4.3</c:v>
                </c:pt>
                <c:pt idx="56">
                  <c:v>-4.4000000000000004</c:v>
                </c:pt>
                <c:pt idx="57">
                  <c:v>-4.5</c:v>
                </c:pt>
                <c:pt idx="58">
                  <c:v>-4.5999999999999996</c:v>
                </c:pt>
                <c:pt idx="59">
                  <c:v>-4.7</c:v>
                </c:pt>
                <c:pt idx="60">
                  <c:v>-4.8</c:v>
                </c:pt>
                <c:pt idx="61">
                  <c:v>-4.9000000000000004</c:v>
                </c:pt>
                <c:pt idx="62">
                  <c:v>-5</c:v>
                </c:pt>
                <c:pt idx="63">
                  <c:v>-5.0999999999999996</c:v>
                </c:pt>
                <c:pt idx="64">
                  <c:v>-5.2</c:v>
                </c:pt>
                <c:pt idx="65">
                  <c:v>-5.3</c:v>
                </c:pt>
                <c:pt idx="66">
                  <c:v>-5.4</c:v>
                </c:pt>
                <c:pt idx="67">
                  <c:v>-5.5</c:v>
                </c:pt>
                <c:pt idx="68">
                  <c:v>-5.6</c:v>
                </c:pt>
                <c:pt idx="69">
                  <c:v>-5.7</c:v>
                </c:pt>
                <c:pt idx="70">
                  <c:v>-5.8</c:v>
                </c:pt>
                <c:pt idx="71">
                  <c:v>-5.9</c:v>
                </c:pt>
                <c:pt idx="72">
                  <c:v>-6</c:v>
                </c:pt>
                <c:pt idx="73">
                  <c:v>-6.1</c:v>
                </c:pt>
                <c:pt idx="74">
                  <c:v>-6.2</c:v>
                </c:pt>
                <c:pt idx="75">
                  <c:v>-6.3</c:v>
                </c:pt>
                <c:pt idx="76">
                  <c:v>-6.4</c:v>
                </c:pt>
                <c:pt idx="77">
                  <c:v>-6.5</c:v>
                </c:pt>
                <c:pt idx="78">
                  <c:v>-6.6</c:v>
                </c:pt>
                <c:pt idx="79">
                  <c:v>-6.7</c:v>
                </c:pt>
                <c:pt idx="80">
                  <c:v>-6.8</c:v>
                </c:pt>
                <c:pt idx="81">
                  <c:v>-6.9</c:v>
                </c:pt>
                <c:pt idx="82">
                  <c:v>-7</c:v>
                </c:pt>
                <c:pt idx="83">
                  <c:v>-7.1</c:v>
                </c:pt>
                <c:pt idx="84">
                  <c:v>-7.2</c:v>
                </c:pt>
                <c:pt idx="85">
                  <c:v>-7.3</c:v>
                </c:pt>
                <c:pt idx="86">
                  <c:v>-7.4</c:v>
                </c:pt>
                <c:pt idx="87">
                  <c:v>-7.5</c:v>
                </c:pt>
                <c:pt idx="88">
                  <c:v>-7.6</c:v>
                </c:pt>
                <c:pt idx="89">
                  <c:v>-7.7</c:v>
                </c:pt>
                <c:pt idx="90">
                  <c:v>-7.8</c:v>
                </c:pt>
                <c:pt idx="91">
                  <c:v>-7.9</c:v>
                </c:pt>
                <c:pt idx="92">
                  <c:v>-8</c:v>
                </c:pt>
                <c:pt idx="93">
                  <c:v>-8.1</c:v>
                </c:pt>
                <c:pt idx="94">
                  <c:v>-8.2000000000000099</c:v>
                </c:pt>
                <c:pt idx="95">
                  <c:v>-8.3000000000000096</c:v>
                </c:pt>
                <c:pt idx="96">
                  <c:v>-8.4000000000000092</c:v>
                </c:pt>
                <c:pt idx="97">
                  <c:v>-8.5</c:v>
                </c:pt>
                <c:pt idx="98">
                  <c:v>-8.6</c:v>
                </c:pt>
                <c:pt idx="99">
                  <c:v>-8.7000000000000099</c:v>
                </c:pt>
                <c:pt idx="100">
                  <c:v>-8.8000000000000096</c:v>
                </c:pt>
                <c:pt idx="101">
                  <c:v>-8.9000000000000092</c:v>
                </c:pt>
                <c:pt idx="102">
                  <c:v>-9.0000000000000107</c:v>
                </c:pt>
                <c:pt idx="103">
                  <c:v>-9.1000000000000103</c:v>
                </c:pt>
                <c:pt idx="104">
                  <c:v>-9.2000000000000099</c:v>
                </c:pt>
                <c:pt idx="105">
                  <c:v>-9.3000000000000096</c:v>
                </c:pt>
                <c:pt idx="106">
                  <c:v>-9.4000000000000092</c:v>
                </c:pt>
                <c:pt idx="107">
                  <c:v>-9.5000000000000107</c:v>
                </c:pt>
                <c:pt idx="108">
                  <c:v>-9.6000000000000103</c:v>
                </c:pt>
                <c:pt idx="109">
                  <c:v>-9.7000000000000099</c:v>
                </c:pt>
                <c:pt idx="110">
                  <c:v>-9.8000000000000096</c:v>
                </c:pt>
                <c:pt idx="111">
                  <c:v>-9.9000000000000092</c:v>
                </c:pt>
                <c:pt idx="112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A1-4601-BCE7-46BC88CBCE9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LC06_ALS!$V$66:$V$292</c:f>
              <c:numCache>
                <c:formatCode>0.00</c:formatCode>
                <c:ptCount val="2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-4.6588830377905897</c:v>
                </c:pt>
                <c:pt idx="67">
                  <c:v>-9.5818706647441196</c:v>
                </c:pt>
                <c:pt idx="68">
                  <c:v>-14.750847953830601</c:v>
                </c:pt>
                <c:pt idx="69">
                  <c:v>-20.1476989787703</c:v>
                </c:pt>
                <c:pt idx="70">
                  <c:v>-25.754306596608</c:v>
                </c:pt>
                <c:pt idx="71">
                  <c:v>-31.552552266311402</c:v>
                </c:pt>
                <c:pt idx="72">
                  <c:v>-37.524315928947502</c:v>
                </c:pt>
                <c:pt idx="73">
                  <c:v>-43.651475972630301</c:v>
                </c:pt>
                <c:pt idx="74">
                  <c:v>-49.915909300822598</c:v>
                </c:pt>
                <c:pt idx="75">
                  <c:v>-56.299491516268702</c:v>
                </c:pt>
                <c:pt idx="76">
                  <c:v>-59.0665458616363</c:v>
                </c:pt>
                <c:pt idx="77">
                  <c:v>-60.433383529841201</c:v>
                </c:pt>
                <c:pt idx="78">
                  <c:v>-61.8015075226241</c:v>
                </c:pt>
                <c:pt idx="79">
                  <c:v>-63.1708261841354</c:v>
                </c:pt>
                <c:pt idx="80">
                  <c:v>-64.541249081363802</c:v>
                </c:pt>
                <c:pt idx="81">
                  <c:v>-65.912687017533202</c:v>
                </c:pt>
                <c:pt idx="82">
                  <c:v>-67.2850520449973</c:v>
                </c:pt>
                <c:pt idx="83">
                  <c:v>-68.658257477623707</c:v>
                </c:pt>
                <c:pt idx="84">
                  <c:v>-70.032217902662694</c:v>
                </c:pt>
                <c:pt idx="85">
                  <c:v>-71.406849192094896</c:v>
                </c:pt>
                <c:pt idx="86">
                  <c:v>-72.782068513451307</c:v>
                </c:pt>
                <c:pt idx="87">
                  <c:v>-74.157794340098903</c:v>
                </c:pt>
                <c:pt idx="88">
                  <c:v>-75.533946460988503</c:v>
                </c:pt>
                <c:pt idx="89">
                  <c:v>-76.910445989855702</c:v>
                </c:pt>
                <c:pt idx="90">
                  <c:v>-78.287215373872002</c:v>
                </c:pt>
                <c:pt idx="91">
                  <c:v>-79.664178401737402</c:v>
                </c:pt>
                <c:pt idx="92">
                  <c:v>-81.041260211210997</c:v>
                </c:pt>
                <c:pt idx="93">
                  <c:v>-82.418387296072893</c:v>
                </c:pt>
                <c:pt idx="94">
                  <c:v>-83.795487512510505</c:v>
                </c:pt>
                <c:pt idx="95">
                  <c:v>-85.172490084925499</c:v>
                </c:pt>
                <c:pt idx="96">
                  <c:v>-86.549325611153805</c:v>
                </c:pt>
                <c:pt idx="97">
                  <c:v>-87.925926067094494</c:v>
                </c:pt>
                <c:pt idx="98">
                  <c:v>-89.302224810739602</c:v>
                </c:pt>
                <c:pt idx="99">
                  <c:v>-90.678156585601997</c:v>
                </c:pt>
                <c:pt idx="100">
                  <c:v>-92.053657523533403</c:v>
                </c:pt>
                <c:pt idx="101">
                  <c:v>-93.428665146927699</c:v>
                </c:pt>
                <c:pt idx="102">
                  <c:v>-94.803118370303906</c:v>
                </c:pt>
                <c:pt idx="103">
                  <c:v>-96.176957501262905</c:v>
                </c:pt>
                <c:pt idx="104">
                  <c:v>-97.550124240812806</c:v>
                </c:pt>
                <c:pt idx="105">
                  <c:v>-98.9225616830566</c:v>
                </c:pt>
                <c:pt idx="106">
                  <c:v>-100.294214314237</c:v>
                </c:pt>
                <c:pt idx="107">
                  <c:v>-101.665028011134</c:v>
                </c:pt>
                <c:pt idx="108">
                  <c:v>-103.03495003880801</c:v>
                </c:pt>
                <c:pt idx="109">
                  <c:v>-104.40392904767801</c:v>
                </c:pt>
                <c:pt idx="110">
                  <c:v>-105.771915069947</c:v>
                </c:pt>
                <c:pt idx="111">
                  <c:v>-107.13885951534699</c:v>
                </c:pt>
                <c:pt idx="112">
                  <c:v>-108.50471516620701</c:v>
                </c:pt>
                <c:pt idx="113">
                  <c:v>-109.86943617185</c:v>
                </c:pt>
                <c:pt idx="114">
                  <c:v>-111.232978042293</c:v>
                </c:pt>
                <c:pt idx="115">
                  <c:v>-112.595297641258</c:v>
                </c:pt>
                <c:pt idx="116">
                  <c:v>-113.956353178489</c:v>
                </c:pt>
                <c:pt idx="117">
                  <c:v>-114.66916420114499</c:v>
                </c:pt>
                <c:pt idx="118">
                  <c:v>-114.94115430557601</c:v>
                </c:pt>
                <c:pt idx="119">
                  <c:v>-115.18016742944999</c:v>
                </c:pt>
                <c:pt idx="120">
                  <c:v>-115.386037712209</c:v>
                </c:pt>
                <c:pt idx="121">
                  <c:v>-115.55860523346399</c:v>
                </c:pt>
                <c:pt idx="122">
                  <c:v>-115.69771597914701</c:v>
                </c:pt>
                <c:pt idx="123">
                  <c:v>-115.80322180631801</c:v>
                </c:pt>
                <c:pt idx="124">
                  <c:v>-115.874980406661</c:v>
                </c:pt>
                <c:pt idx="125">
                  <c:v>-115.912855268732</c:v>
                </c:pt>
                <c:pt idx="126">
                  <c:v>-115.084541246022</c:v>
                </c:pt>
                <c:pt idx="127">
                  <c:v>-114.264158021215</c:v>
                </c:pt>
                <c:pt idx="128">
                  <c:v>-113.42557337722801</c:v>
                </c:pt>
                <c:pt idx="129">
                  <c:v>-112.56889531159599</c:v>
                </c:pt>
                <c:pt idx="130">
                  <c:v>-111.694233465145</c:v>
                </c:pt>
                <c:pt idx="131">
                  <c:v>-110.801699089751</c:v>
                </c:pt>
                <c:pt idx="132">
                  <c:v>-109.891405016703</c:v>
                </c:pt>
                <c:pt idx="133">
                  <c:v>-108.96346562568201</c:v>
                </c:pt>
                <c:pt idx="134">
                  <c:v>-108.017996814368</c:v>
                </c:pt>
                <c:pt idx="135">
                  <c:v>-107.055115968686</c:v>
                </c:pt>
                <c:pt idx="136">
                  <c:v>-106.07494193371301</c:v>
                </c:pt>
                <c:pt idx="137">
                  <c:v>-105.07759498525201</c:v>
                </c:pt>
                <c:pt idx="138">
                  <c:v>-104.06319680208099</c:v>
                </c:pt>
                <c:pt idx="139">
                  <c:v>-103.03187043890399</c:v>
                </c:pt>
                <c:pt idx="140">
                  <c:v>-101.983740300006</c:v>
                </c:pt>
                <c:pt idx="141">
                  <c:v>-100.918932113626</c:v>
                </c:pt>
                <c:pt idx="142">
                  <c:v>-99.837572907066701</c:v>
                </c:pt>
                <c:pt idx="143">
                  <c:v>-98.739790982544903</c:v>
                </c:pt>
                <c:pt idx="144">
                  <c:v>-97.625715893804895</c:v>
                </c:pt>
                <c:pt idx="145">
                  <c:v>-96.495478423497502</c:v>
                </c:pt>
                <c:pt idx="146">
                  <c:v>-95.349210561345799</c:v>
                </c:pt>
                <c:pt idx="147">
                  <c:v>-94.187045483104001</c:v>
                </c:pt>
                <c:pt idx="148">
                  <c:v>-93.0091175303249</c:v>
                </c:pt>
                <c:pt idx="149">
                  <c:v>-91.8155621909481</c:v>
                </c:pt>
                <c:pt idx="150">
                  <c:v>-90.606516080719103</c:v>
                </c:pt>
                <c:pt idx="151">
                  <c:v>-89.382116925453303</c:v>
                </c:pt>
                <c:pt idx="152">
                  <c:v>-88.142503544157194</c:v>
                </c:pt>
                <c:pt idx="153">
                  <c:v>-86.887815833016404</c:v>
                </c:pt>
                <c:pt idx="154">
                  <c:v>-85.618194750265303</c:v>
                </c:pt>
                <c:pt idx="155">
                  <c:v>-84.333782301948105</c:v>
                </c:pt>
                <c:pt idx="156">
                  <c:v>-83.034721528583404</c:v>
                </c:pt>
                <c:pt idx="157">
                  <c:v>-81.721156492745195</c:v>
                </c:pt>
                <c:pt idx="158">
                  <c:v>-80.3932322675698</c:v>
                </c:pt>
                <c:pt idx="159">
                  <c:v>-79.051094926201699</c:v>
                </c:pt>
                <c:pt idx="160">
                  <c:v>-77.694891532189502</c:v>
                </c:pt>
                <c:pt idx="161">
                  <c:v>-76.324770130842097</c:v>
                </c:pt>
                <c:pt idx="162">
                  <c:v>-74.940879741558305</c:v>
                </c:pt>
                <c:pt idx="163">
                  <c:v>-73.543370351139302</c:v>
                </c:pt>
                <c:pt idx="164">
                  <c:v>-72.132392908095198</c:v>
                </c:pt>
                <c:pt idx="165">
                  <c:v>-70.708099317957505</c:v>
                </c:pt>
                <c:pt idx="166">
                  <c:v>-69.270642439607698</c:v>
                </c:pt>
                <c:pt idx="167">
                  <c:v>-67.820176082632599</c:v>
                </c:pt>
                <c:pt idx="168">
                  <c:v>-66.356855005716895</c:v>
                </c:pt>
                <c:pt idx="169">
                  <c:v>-64.880834916084396</c:v>
                </c:pt>
                <c:pt idx="170">
                  <c:v>-63.392272469997501</c:v>
                </c:pt>
                <c:pt idx="171">
                  <c:v>-61.891325274324899</c:v>
                </c:pt>
                <c:pt idx="172">
                  <c:v>-60.378151889188999</c:v>
                </c:pt>
                <c:pt idx="173">
                  <c:v>-58.852911831702201</c:v>
                </c:pt>
                <c:pt idx="174">
                  <c:v>-57.315765580801802</c:v>
                </c:pt>
                <c:pt idx="175">
                  <c:v>-55.7668745831946</c:v>
                </c:pt>
                <c:pt idx="176">
                  <c:v>-54.206401260419597</c:v>
                </c:pt>
                <c:pt idx="177">
                  <c:v>-52.6345090170391</c:v>
                </c:pt>
                <c:pt idx="178">
                  <c:v>-51.0513622499682</c:v>
                </c:pt>
                <c:pt idx="179">
                  <c:v>-49.457126358951001</c:v>
                </c:pt>
                <c:pt idx="180">
                  <c:v>-47.851967758194</c:v>
                </c:pt>
                <c:pt idx="181">
                  <c:v>-46.236053889164097</c:v>
                </c:pt>
                <c:pt idx="182">
                  <c:v>-44.6095532345634</c:v>
                </c:pt>
                <c:pt idx="183">
                  <c:v>-42.972635333485499</c:v>
                </c:pt>
                <c:pt idx="184">
                  <c:v>-41.325470797766002</c:v>
                </c:pt>
                <c:pt idx="185">
                  <c:v>-39.668231329533199</c:v>
                </c:pt>
                <c:pt idx="186">
                  <c:v>-1499.0514341081</c:v>
                </c:pt>
                <c:pt idx="187">
                  <c:v>-1461.65383810705</c:v>
                </c:pt>
                <c:pt idx="188">
                  <c:v>-1420.47491137406</c:v>
                </c:pt>
                <c:pt idx="189">
                  <c:v>-1375.53001266109</c:v>
                </c:pt>
                <c:pt idx="190">
                  <c:v>-1326.854516372</c:v>
                </c:pt>
                <c:pt idx="191">
                  <c:v>-1274.5032896390501</c:v>
                </c:pt>
                <c:pt idx="192">
                  <c:v>-1218.54986920241</c:v>
                </c:pt>
                <c:pt idx="193">
                  <c:v>-1159.0853637637699</c:v>
                </c:pt>
                <c:pt idx="194">
                  <c:v>-1096.2171149242099</c:v>
                </c:pt>
                <c:pt idx="195">
                  <c:v>-1030.06715569879</c:v>
                </c:pt>
                <c:pt idx="196">
                  <c:v>-960.77050972295604</c:v>
                </c:pt>
                <c:pt idx="197">
                  <c:v>-888.47337653702004</c:v>
                </c:pt>
                <c:pt idx="198">
                  <c:v>-813.33124877503201</c:v>
                </c:pt>
                <c:pt idx="199">
                  <c:v>-735.50700581262902</c:v>
                </c:pt>
                <c:pt idx="200">
                  <c:v>-655.16902564925203</c:v>
                </c:pt>
                <c:pt idx="201">
                  <c:v>-572.48935277818498</c:v>
                </c:pt>
                <c:pt idx="202">
                  <c:v>-487.64195483679401</c:v>
                </c:pt>
                <c:pt idx="203">
                  <c:v>-400.80109524662498</c:v>
                </c:pt>
                <c:pt idx="204">
                  <c:v>-312.13984315872301</c:v>
                </c:pt>
                <c:pt idx="205">
                  <c:v>-221.828736098706</c:v>
                </c:pt>
                <c:pt idx="206">
                  <c:v>-130.034605005141</c:v>
                </c:pt>
                <c:pt idx="207">
                  <c:v>-36.919566072955099</c:v>
                </c:pt>
                <c:pt idx="208">
                  <c:v>57.3598209004778</c:v>
                </c:pt>
                <c:pt idx="209">
                  <c:v>152.65323201752699</c:v>
                </c:pt>
                <c:pt idx="210">
                  <c:v>248.81710431389399</c:v>
                </c:pt>
                <c:pt idx="211">
                  <c:v>345.71501661290199</c:v>
                </c:pt>
                <c:pt idx="212">
                  <c:v>443.21793839423498</c:v>
                </c:pt>
                <c:pt idx="213">
                  <c:v>541.20436012385699</c:v>
                </c:pt>
                <c:pt idx="214">
                  <c:v>639.56031916191705</c:v>
                </c:pt>
                <c:pt idx="215">
                  <c:v>738.17933553228704</c:v>
                </c:pt>
                <c:pt idx="216">
                  <c:v>836.962271585434</c:v>
                </c:pt>
                <c:pt idx="217">
                  <c:v>935.81712900008802</c:v>
                </c:pt>
                <c:pt idx="218">
                  <c:v>1034.65879572887</c:v>
                </c:pt>
                <c:pt idx="219">
                  <c:v>1133.4087544722299</c:v>
                </c:pt>
                <c:pt idx="220">
                  <c:v>1231.99476312863</c:v>
                </c:pt>
                <c:pt idx="221">
                  <c:v>1330.3505164726701</c:v>
                </c:pt>
                <c:pt idx="222">
                  <c:v>1428.4152971025201</c:v>
                </c:pt>
                <c:pt idx="223">
                  <c:v>1526.13362251031</c:v>
                </c:pt>
                <c:pt idx="224">
                  <c:v>1623.45489399244</c:v>
                </c:pt>
                <c:pt idx="225">
                  <c:v>1720.33305205132</c:v>
                </c:pt>
              </c:numCache>
            </c:numRef>
          </c:xVal>
          <c:yVal>
            <c:numRef>
              <c:f>LC06_ALS!$Z$66:$Z$292</c:f>
              <c:numCache>
                <c:formatCode>0.00</c:formatCode>
                <c:ptCount val="227"/>
                <c:pt idx="0">
                  <c:v>1.2</c:v>
                </c:pt>
                <c:pt idx="1">
                  <c:v>1.0999999999999901</c:v>
                </c:pt>
                <c:pt idx="2">
                  <c:v>0.999999999999999</c:v>
                </c:pt>
                <c:pt idx="3">
                  <c:v>0.89999999999999902</c:v>
                </c:pt>
                <c:pt idx="4">
                  <c:v>0.79999999999999905</c:v>
                </c:pt>
                <c:pt idx="5">
                  <c:v>0.69999999999999896</c:v>
                </c:pt>
                <c:pt idx="6">
                  <c:v>0.59999999999999898</c:v>
                </c:pt>
                <c:pt idx="7">
                  <c:v>0.499999999999999</c:v>
                </c:pt>
                <c:pt idx="8">
                  <c:v>0.39999999999999902</c:v>
                </c:pt>
                <c:pt idx="9">
                  <c:v>0.29999999999999899</c:v>
                </c:pt>
                <c:pt idx="10">
                  <c:v>0.19999999999999901</c:v>
                </c:pt>
                <c:pt idx="11">
                  <c:v>9.9999999999998895E-2</c:v>
                </c:pt>
                <c:pt idx="12">
                  <c:v>-1.11022302462515E-15</c:v>
                </c:pt>
                <c:pt idx="13">
                  <c:v>-0.100000000000001</c:v>
                </c:pt>
                <c:pt idx="14">
                  <c:v>-0.20000000000000101</c:v>
                </c:pt>
                <c:pt idx="15">
                  <c:v>-0.30000000000000099</c:v>
                </c:pt>
                <c:pt idx="16">
                  <c:v>-0.40000000000000102</c:v>
                </c:pt>
                <c:pt idx="17">
                  <c:v>-0.500000000000001</c:v>
                </c:pt>
                <c:pt idx="18">
                  <c:v>-0.60000000000000098</c:v>
                </c:pt>
                <c:pt idx="19">
                  <c:v>-0.70000000000000095</c:v>
                </c:pt>
                <c:pt idx="20">
                  <c:v>-0.80000000000000104</c:v>
                </c:pt>
                <c:pt idx="21">
                  <c:v>-0.90000000000000102</c:v>
                </c:pt>
                <c:pt idx="22">
                  <c:v>-1</c:v>
                </c:pt>
                <c:pt idx="23">
                  <c:v>-1.1000000000000001</c:v>
                </c:pt>
                <c:pt idx="24">
                  <c:v>-1.2</c:v>
                </c:pt>
                <c:pt idx="25">
                  <c:v>-1.3</c:v>
                </c:pt>
                <c:pt idx="26">
                  <c:v>-1.4</c:v>
                </c:pt>
                <c:pt idx="27">
                  <c:v>-1.5</c:v>
                </c:pt>
                <c:pt idx="28">
                  <c:v>-1.6</c:v>
                </c:pt>
                <c:pt idx="29">
                  <c:v>-1.7</c:v>
                </c:pt>
                <c:pt idx="30">
                  <c:v>-1.8</c:v>
                </c:pt>
                <c:pt idx="31">
                  <c:v>-1.9</c:v>
                </c:pt>
                <c:pt idx="32">
                  <c:v>-2</c:v>
                </c:pt>
                <c:pt idx="33">
                  <c:v>-2.1</c:v>
                </c:pt>
                <c:pt idx="34">
                  <c:v>-2.2000000000000002</c:v>
                </c:pt>
                <c:pt idx="35">
                  <c:v>-2.2999999999999998</c:v>
                </c:pt>
                <c:pt idx="36">
                  <c:v>-2.4</c:v>
                </c:pt>
                <c:pt idx="37">
                  <c:v>-2.5</c:v>
                </c:pt>
                <c:pt idx="38">
                  <c:v>-2.6</c:v>
                </c:pt>
                <c:pt idx="39">
                  <c:v>-2.7</c:v>
                </c:pt>
                <c:pt idx="40">
                  <c:v>-2.8</c:v>
                </c:pt>
                <c:pt idx="41">
                  <c:v>-2.9</c:v>
                </c:pt>
                <c:pt idx="42">
                  <c:v>-3</c:v>
                </c:pt>
                <c:pt idx="43">
                  <c:v>-3.1</c:v>
                </c:pt>
                <c:pt idx="44">
                  <c:v>-3.2</c:v>
                </c:pt>
                <c:pt idx="45">
                  <c:v>-3.3</c:v>
                </c:pt>
                <c:pt idx="46">
                  <c:v>-3.4</c:v>
                </c:pt>
                <c:pt idx="47">
                  <c:v>-3.5</c:v>
                </c:pt>
                <c:pt idx="48">
                  <c:v>-3.6</c:v>
                </c:pt>
                <c:pt idx="49">
                  <c:v>-3.7</c:v>
                </c:pt>
                <c:pt idx="50">
                  <c:v>-3.8</c:v>
                </c:pt>
                <c:pt idx="51">
                  <c:v>-3.9</c:v>
                </c:pt>
                <c:pt idx="52">
                  <c:v>-4</c:v>
                </c:pt>
                <c:pt idx="53">
                  <c:v>-4.0999999999999996</c:v>
                </c:pt>
                <c:pt idx="54">
                  <c:v>-4.2</c:v>
                </c:pt>
                <c:pt idx="55">
                  <c:v>-4.3</c:v>
                </c:pt>
                <c:pt idx="56">
                  <c:v>-4.4000000000000004</c:v>
                </c:pt>
                <c:pt idx="57">
                  <c:v>-4.5</c:v>
                </c:pt>
                <c:pt idx="58">
                  <c:v>-4.5999999999999996</c:v>
                </c:pt>
                <c:pt idx="59">
                  <c:v>-4.7</c:v>
                </c:pt>
                <c:pt idx="60">
                  <c:v>-4.8</c:v>
                </c:pt>
                <c:pt idx="61">
                  <c:v>-4.9000000000000004</c:v>
                </c:pt>
                <c:pt idx="62">
                  <c:v>-5</c:v>
                </c:pt>
                <c:pt idx="63">
                  <c:v>-5.0999999999999996</c:v>
                </c:pt>
                <c:pt idx="64">
                  <c:v>-5.2</c:v>
                </c:pt>
                <c:pt idx="65">
                  <c:v>-5.3</c:v>
                </c:pt>
                <c:pt idx="66">
                  <c:v>-5.4</c:v>
                </c:pt>
                <c:pt idx="67">
                  <c:v>-5.5</c:v>
                </c:pt>
                <c:pt idx="68">
                  <c:v>-5.6</c:v>
                </c:pt>
                <c:pt idx="69">
                  <c:v>-5.7</c:v>
                </c:pt>
                <c:pt idx="70">
                  <c:v>-5.8</c:v>
                </c:pt>
                <c:pt idx="71">
                  <c:v>-5.9</c:v>
                </c:pt>
                <c:pt idx="72">
                  <c:v>-6</c:v>
                </c:pt>
                <c:pt idx="73">
                  <c:v>-6.1</c:v>
                </c:pt>
                <c:pt idx="74">
                  <c:v>-6.2</c:v>
                </c:pt>
                <c:pt idx="75">
                  <c:v>-6.3</c:v>
                </c:pt>
                <c:pt idx="76">
                  <c:v>-6.4</c:v>
                </c:pt>
                <c:pt idx="77">
                  <c:v>-6.5</c:v>
                </c:pt>
                <c:pt idx="78">
                  <c:v>-6.6</c:v>
                </c:pt>
                <c:pt idx="79">
                  <c:v>-6.7</c:v>
                </c:pt>
                <c:pt idx="80">
                  <c:v>-6.8</c:v>
                </c:pt>
                <c:pt idx="81">
                  <c:v>-6.9</c:v>
                </c:pt>
                <c:pt idx="82">
                  <c:v>-7</c:v>
                </c:pt>
                <c:pt idx="83">
                  <c:v>-7.1</c:v>
                </c:pt>
                <c:pt idx="84">
                  <c:v>-7.2</c:v>
                </c:pt>
                <c:pt idx="85">
                  <c:v>-7.3</c:v>
                </c:pt>
                <c:pt idx="86">
                  <c:v>-7.4</c:v>
                </c:pt>
                <c:pt idx="87">
                  <c:v>-7.5</c:v>
                </c:pt>
                <c:pt idx="88">
                  <c:v>-7.6</c:v>
                </c:pt>
                <c:pt idx="89">
                  <c:v>-7.7</c:v>
                </c:pt>
                <c:pt idx="90">
                  <c:v>-7.8</c:v>
                </c:pt>
                <c:pt idx="91">
                  <c:v>-7.9</c:v>
                </c:pt>
                <c:pt idx="92">
                  <c:v>-8</c:v>
                </c:pt>
                <c:pt idx="93">
                  <c:v>-8.1</c:v>
                </c:pt>
                <c:pt idx="94">
                  <c:v>-8.2000000000000099</c:v>
                </c:pt>
                <c:pt idx="95">
                  <c:v>-8.3000000000000096</c:v>
                </c:pt>
                <c:pt idx="96">
                  <c:v>-8.4000000000000092</c:v>
                </c:pt>
                <c:pt idx="97">
                  <c:v>-8.5</c:v>
                </c:pt>
                <c:pt idx="98">
                  <c:v>-8.6</c:v>
                </c:pt>
                <c:pt idx="99">
                  <c:v>-8.7000000000000099</c:v>
                </c:pt>
                <c:pt idx="100">
                  <c:v>-8.8000000000000096</c:v>
                </c:pt>
                <c:pt idx="101">
                  <c:v>-8.9000000000000092</c:v>
                </c:pt>
                <c:pt idx="102">
                  <c:v>-9.0000000000000107</c:v>
                </c:pt>
                <c:pt idx="103">
                  <c:v>-9.1000000000000103</c:v>
                </c:pt>
                <c:pt idx="104">
                  <c:v>-9.2000000000000099</c:v>
                </c:pt>
                <c:pt idx="105">
                  <c:v>-9.3000000000000096</c:v>
                </c:pt>
                <c:pt idx="106">
                  <c:v>-9.4000000000000092</c:v>
                </c:pt>
                <c:pt idx="107">
                  <c:v>-9.5000000000000107</c:v>
                </c:pt>
                <c:pt idx="108">
                  <c:v>-9.6000000000000103</c:v>
                </c:pt>
                <c:pt idx="109">
                  <c:v>-9.7000000000000099</c:v>
                </c:pt>
                <c:pt idx="110">
                  <c:v>-9.8000000000000096</c:v>
                </c:pt>
                <c:pt idx="111">
                  <c:v>-9.9000000000000092</c:v>
                </c:pt>
                <c:pt idx="112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89-4754-95F9-AEC9C19ED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03855"/>
        <c:axId val="1910445519"/>
      </c:scatterChart>
      <c:valAx>
        <c:axId val="195970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</a:t>
                </a:r>
                <a:r>
                  <a:rPr lang="en-GB" baseline="0"/>
                  <a:t> [kN/m]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6251211461302701"/>
              <c:y val="6.52599113195523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in"/>
        <c:minorTickMark val="in"/>
        <c:tickLblPos val="high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5519"/>
        <c:crossesAt val="2"/>
        <c:crossBetween val="midCat"/>
      </c:valAx>
      <c:valAx>
        <c:axId val="1910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Z-level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03855"/>
        <c:crossesAt val="-2000"/>
        <c:crossBetween val="midCat"/>
        <c:majorUnit val="2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969857278454248"/>
          <c:y val="0.36642088838428583"/>
          <c:w val="0.15975822544114929"/>
          <c:h val="0.2189467676387236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7.9229658792650925E-2"/>
                  <c:y val="0.112607903178769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Sheet1!$B$2:$B$5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5.4</c:v>
                </c:pt>
                <c:pt idx="1">
                  <c:v>8.6999999999999993</c:v>
                </c:pt>
                <c:pt idx="2">
                  <c:v>22</c:v>
                </c:pt>
                <c:pt idx="3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73-4ED7-A587-0B118C61A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223104"/>
        <c:axId val="577243264"/>
      </c:scatterChart>
      <c:valAx>
        <c:axId val="57722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77243264"/>
        <c:crosses val="autoZero"/>
        <c:crossBetween val="midCat"/>
      </c:valAx>
      <c:valAx>
        <c:axId val="57724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7722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Sheet4!$D$2:$R$2</c:f>
              <c:numCache>
                <c:formatCode>General</c:formatCode>
                <c:ptCount val="15"/>
                <c:pt idx="0">
                  <c:v>0</c:v>
                </c:pt>
                <c:pt idx="1">
                  <c:v>2.317E-3</c:v>
                </c:pt>
                <c:pt idx="2">
                  <c:v>4.6350000000000002E-3</c:v>
                </c:pt>
                <c:pt idx="3">
                  <c:v>6.9519999999999998E-3</c:v>
                </c:pt>
                <c:pt idx="4">
                  <c:v>9.2689999999999995E-3</c:v>
                </c:pt>
                <c:pt idx="5">
                  <c:v>1.159E-2</c:v>
                </c:pt>
                <c:pt idx="6">
                  <c:v>1.3899999999999999E-2</c:v>
                </c:pt>
                <c:pt idx="7">
                  <c:v>1.6219999999999998E-2</c:v>
                </c:pt>
                <c:pt idx="8">
                  <c:v>1.8540000000000001E-2</c:v>
                </c:pt>
                <c:pt idx="9">
                  <c:v>2.086E-2</c:v>
                </c:pt>
                <c:pt idx="10">
                  <c:v>914</c:v>
                </c:pt>
                <c:pt idx="11">
                  <c:v>915</c:v>
                </c:pt>
                <c:pt idx="12">
                  <c:v>916</c:v>
                </c:pt>
                <c:pt idx="13">
                  <c:v>917</c:v>
                </c:pt>
                <c:pt idx="14">
                  <c:v>918</c:v>
                </c:pt>
              </c:numCache>
            </c:numRef>
          </c:xVal>
          <c:yVal>
            <c:numRef>
              <c:f>Sheet4!$D$1:$R$1</c:f>
              <c:numCache>
                <c:formatCode>General</c:formatCode>
                <c:ptCount val="15"/>
                <c:pt idx="0">
                  <c:v>0</c:v>
                </c:pt>
                <c:pt idx="1">
                  <c:v>11.22</c:v>
                </c:pt>
                <c:pt idx="2">
                  <c:v>19.36</c:v>
                </c:pt>
                <c:pt idx="3">
                  <c:v>24</c:v>
                </c:pt>
                <c:pt idx="4">
                  <c:v>26.29</c:v>
                </c:pt>
                <c:pt idx="5">
                  <c:v>27.34</c:v>
                </c:pt>
                <c:pt idx="6">
                  <c:v>27.8</c:v>
                </c:pt>
                <c:pt idx="7">
                  <c:v>28</c:v>
                </c:pt>
                <c:pt idx="8">
                  <c:v>28.09</c:v>
                </c:pt>
                <c:pt idx="9">
                  <c:v>28.13</c:v>
                </c:pt>
                <c:pt idx="10">
                  <c:v>28.15</c:v>
                </c:pt>
                <c:pt idx="11">
                  <c:v>28.15</c:v>
                </c:pt>
                <c:pt idx="12">
                  <c:v>28.15</c:v>
                </c:pt>
                <c:pt idx="13">
                  <c:v>28.15</c:v>
                </c:pt>
                <c:pt idx="14">
                  <c:v>28.15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Sheet4!$A$26:$A$45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7.9531545867998201E-4</c:v>
                </c:pt>
                <c:pt idx="2">
                  <c:v>1.5922770686011801E-3</c:v>
                </c:pt>
                <c:pt idx="3">
                  <c:v>2.3923097542450601E-3</c:v>
                </c:pt>
                <c:pt idx="4">
                  <c:v>3.2899792461676199E-3</c:v>
                </c:pt>
                <c:pt idx="5">
                  <c:v>4.3948922465731396E-3</c:v>
                </c:pt>
                <c:pt idx="6">
                  <c:v>5.6992717670009997E-3</c:v>
                </c:pt>
                <c:pt idx="7">
                  <c:v>7.16607609740064E-3</c:v>
                </c:pt>
                <c:pt idx="8">
                  <c:v>8.7903513973495093E-3</c:v>
                </c:pt>
                <c:pt idx="9">
                  <c:v>1.0573439387226199E-2</c:v>
                </c:pt>
                <c:pt idx="10">
                  <c:v>1.2486440089454501E-2</c:v>
                </c:pt>
                <c:pt idx="11">
                  <c:v>1.44942291163837E-2</c:v>
                </c:pt>
                <c:pt idx="12">
                  <c:v>1.6571056600285201E-2</c:v>
                </c:pt>
                <c:pt idx="13">
                  <c:v>1.86915844998265E-2</c:v>
                </c:pt>
                <c:pt idx="14">
                  <c:v>2.08410337133897E-2</c:v>
                </c:pt>
                <c:pt idx="15">
                  <c:v>2.3009074628597199E-2</c:v>
                </c:pt>
                <c:pt idx="16">
                  <c:v>2.52004604139522E-2</c:v>
                </c:pt>
                <c:pt idx="17">
                  <c:v>2.7441274527332901E-2</c:v>
                </c:pt>
                <c:pt idx="18">
                  <c:v>2.9730707872130901E-2</c:v>
                </c:pt>
                <c:pt idx="19">
                  <c:v>3.2065140108356698E-2</c:v>
                </c:pt>
              </c:numCache>
            </c:numRef>
          </c:xVal>
          <c:yVal>
            <c:numRef>
              <c:f>Sheet4!$C$26:$C$45</c:f>
              <c:numCache>
                <c:formatCode>0.00</c:formatCode>
                <c:ptCount val="20"/>
                <c:pt idx="0">
                  <c:v>5.5659448818897528E-7</c:v>
                </c:pt>
                <c:pt idx="1">
                  <c:v>4.3905896837159668</c:v>
                </c:pt>
                <c:pt idx="2">
                  <c:v>8.5811668744343059</c:v>
                </c:pt>
                <c:pt idx="3">
                  <c:v>12.404779446485454</c:v>
                </c:pt>
                <c:pt idx="4">
                  <c:v>16.104219043127078</c:v>
                </c:pt>
                <c:pt idx="5">
                  <c:v>19.733013745292762</c:v>
                </c:pt>
                <c:pt idx="6">
                  <c:v>22.806578553246062</c:v>
                </c:pt>
                <c:pt idx="7">
                  <c:v>25.033068174516842</c:v>
                </c:pt>
                <c:pt idx="8">
                  <c:v>26.472358062008421</c:v>
                </c:pt>
                <c:pt idx="9">
                  <c:v>27.315677179090986</c:v>
                </c:pt>
                <c:pt idx="10">
                  <c:v>27.763192315089128</c:v>
                </c:pt>
                <c:pt idx="11">
                  <c:v>27.982747496500878</c:v>
                </c:pt>
                <c:pt idx="12">
                  <c:v>28.084829003478017</c:v>
                </c:pt>
                <c:pt idx="13">
                  <c:v>28.130475848816275</c:v>
                </c:pt>
                <c:pt idx="14">
                  <c:v>28.150413715736111</c:v>
                </c:pt>
                <c:pt idx="15">
                  <c:v>28.158990391395889</c:v>
                </c:pt>
                <c:pt idx="16">
                  <c:v>28.162656502883642</c:v>
                </c:pt>
                <c:pt idx="17">
                  <c:v>28.16422021038375</c:v>
                </c:pt>
                <c:pt idx="18">
                  <c:v>28.164873800457023</c:v>
                </c:pt>
                <c:pt idx="19">
                  <c:v>28.165141413627516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Sheet4!$D$6:$R$6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2.2849999999999999E-2</c:v>
                </c:pt>
                <c:pt idx="2">
                  <c:v>6.855E-2</c:v>
                </c:pt>
                <c:pt idx="3">
                  <c:v>0.18279999999999999</c:v>
                </c:pt>
                <c:pt idx="4">
                  <c:v>914</c:v>
                </c:pt>
                <c:pt idx="5">
                  <c:v>915</c:v>
                </c:pt>
                <c:pt idx="6">
                  <c:v>916</c:v>
                </c:pt>
                <c:pt idx="7">
                  <c:v>917</c:v>
                </c:pt>
                <c:pt idx="8">
                  <c:v>918</c:v>
                </c:pt>
                <c:pt idx="9">
                  <c:v>919</c:v>
                </c:pt>
                <c:pt idx="10">
                  <c:v>920</c:v>
                </c:pt>
                <c:pt idx="11">
                  <c:v>921</c:v>
                </c:pt>
                <c:pt idx="12">
                  <c:v>922</c:v>
                </c:pt>
                <c:pt idx="13" formatCode="0.00E+00">
                  <c:v>923</c:v>
                </c:pt>
                <c:pt idx="14" formatCode="0.00E+00">
                  <c:v>918</c:v>
                </c:pt>
              </c:numCache>
            </c:numRef>
          </c:xVal>
          <c:yVal>
            <c:numRef>
              <c:f>Sheet4!$D$5:$R$5</c:f>
              <c:numCache>
                <c:formatCode>General</c:formatCode>
                <c:ptCount val="15"/>
                <c:pt idx="0">
                  <c:v>0</c:v>
                </c:pt>
                <c:pt idx="1">
                  <c:v>80.400000000000006</c:v>
                </c:pt>
                <c:pt idx="2">
                  <c:v>115.8</c:v>
                </c:pt>
                <c:pt idx="3">
                  <c:v>160.80000000000001</c:v>
                </c:pt>
                <c:pt idx="4">
                  <c:v>160.80000000000001</c:v>
                </c:pt>
                <c:pt idx="5">
                  <c:v>160.80000000000001</c:v>
                </c:pt>
                <c:pt idx="6">
                  <c:v>160.80000000000001</c:v>
                </c:pt>
                <c:pt idx="7">
                  <c:v>160.80000000000001</c:v>
                </c:pt>
                <c:pt idx="8">
                  <c:v>160.80000000000001</c:v>
                </c:pt>
                <c:pt idx="9">
                  <c:v>160.80000000000001</c:v>
                </c:pt>
                <c:pt idx="10">
                  <c:v>160.80000000000001</c:v>
                </c:pt>
                <c:pt idx="11">
                  <c:v>160.80000000000001</c:v>
                </c:pt>
                <c:pt idx="12">
                  <c:v>160.80000000000001</c:v>
                </c:pt>
                <c:pt idx="13">
                  <c:v>160.80000000000001</c:v>
                </c:pt>
                <c:pt idx="14">
                  <c:v>160.80000000000001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Sheet4!$G$26:$G$45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5.5895556425565197E-3</c:v>
                </c:pt>
                <c:pt idx="2">
                  <c:v>1.16942197035156E-2</c:v>
                </c:pt>
                <c:pt idx="3">
                  <c:v>1.7928357968055201E-2</c:v>
                </c:pt>
                <c:pt idx="4">
                  <c:v>2.4354714068411699E-2</c:v>
                </c:pt>
                <c:pt idx="5">
                  <c:v>3.1705286905928699E-2</c:v>
                </c:pt>
                <c:pt idx="6">
                  <c:v>3.99196328438821E-2</c:v>
                </c:pt>
                <c:pt idx="7">
                  <c:v>4.8781074139270499E-2</c:v>
                </c:pt>
                <c:pt idx="8">
                  <c:v>5.81701173605014E-2</c:v>
                </c:pt>
                <c:pt idx="9">
                  <c:v>6.8070302002795999E-2</c:v>
                </c:pt>
                <c:pt idx="10">
                  <c:v>7.8614987949253298E-2</c:v>
                </c:pt>
                <c:pt idx="11">
                  <c:v>8.98237314705322E-2</c:v>
                </c:pt>
                <c:pt idx="12">
                  <c:v>0.10170716559852799</c:v>
                </c:pt>
                <c:pt idx="13">
                  <c:v>0.114261206453801</c:v>
                </c:pt>
                <c:pt idx="14">
                  <c:v>0.127465107784382</c:v>
                </c:pt>
                <c:pt idx="15">
                  <c:v>0.14124196895623001</c:v>
                </c:pt>
                <c:pt idx="16">
                  <c:v>0.15552278516926801</c:v>
                </c:pt>
                <c:pt idx="17">
                  <c:v>0.17023877044326099</c:v>
                </c:pt>
                <c:pt idx="18">
                  <c:v>0.18554858186135101</c:v>
                </c:pt>
                <c:pt idx="19">
                  <c:v>0.201486623863882</c:v>
                </c:pt>
              </c:numCache>
            </c:numRef>
          </c:xVal>
          <c:yVal>
            <c:numRef>
              <c:f>Sheet4!$I$26:$I$45</c:f>
              <c:numCache>
                <c:formatCode>0.00</c:formatCode>
                <c:ptCount val="20"/>
                <c:pt idx="0">
                  <c:v>3.5111624707854444E-7</c:v>
                </c:pt>
                <c:pt idx="1">
                  <c:v>19.625838000511482</c:v>
                </c:pt>
                <c:pt idx="2">
                  <c:v>41.060305348104002</c:v>
                </c:pt>
                <c:pt idx="3">
                  <c:v>62.949377660242781</c:v>
                </c:pt>
                <c:pt idx="4">
                  <c:v>81.419774549299106</c:v>
                </c:pt>
                <c:pt idx="5">
                  <c:v>87.097766756189316</c:v>
                </c:pt>
                <c:pt idx="6">
                  <c:v>93.442985455655304</c:v>
                </c:pt>
                <c:pt idx="7">
                  <c:v>100.28805668061122</c:v>
                </c:pt>
                <c:pt idx="8">
                  <c:v>107.54067704350427</c:v>
                </c:pt>
                <c:pt idx="9">
                  <c:v>115.1881315328751</c:v>
                </c:pt>
                <c:pt idx="10">
                  <c:v>119.52811166350941</c:v>
                </c:pt>
                <c:pt idx="11">
                  <c:v>123.93595225832678</c:v>
                </c:pt>
                <c:pt idx="12">
                  <c:v>128.60911506696522</c:v>
                </c:pt>
                <c:pt idx="13">
                  <c:v>133.54599410303152</c:v>
                </c:pt>
                <c:pt idx="14">
                  <c:v>138.73843089885938</c:v>
                </c:pt>
                <c:pt idx="15">
                  <c:v>144.1561842649825</c:v>
                </c:pt>
                <c:pt idx="16">
                  <c:v>149.77211805019576</c:v>
                </c:pt>
                <c:pt idx="17">
                  <c:v>155.55918215423992</c:v>
                </c:pt>
                <c:pt idx="18">
                  <c:v>160.53034816430991</c:v>
                </c:pt>
                <c:pt idx="19">
                  <c:v>160.53034816430991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Sheet4!$D$8:$R$8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2.2849999999999999E-2</c:v>
                </c:pt>
                <c:pt idx="2">
                  <c:v>6.855E-2</c:v>
                </c:pt>
                <c:pt idx="3">
                  <c:v>0.18279999999999999</c:v>
                </c:pt>
                <c:pt idx="4">
                  <c:v>914</c:v>
                </c:pt>
                <c:pt idx="5">
                  <c:v>915</c:v>
                </c:pt>
                <c:pt idx="6">
                  <c:v>916</c:v>
                </c:pt>
                <c:pt idx="7">
                  <c:v>917</c:v>
                </c:pt>
                <c:pt idx="8">
                  <c:v>918</c:v>
                </c:pt>
                <c:pt idx="9">
                  <c:v>919</c:v>
                </c:pt>
                <c:pt idx="10">
                  <c:v>920</c:v>
                </c:pt>
                <c:pt idx="11">
                  <c:v>921</c:v>
                </c:pt>
                <c:pt idx="12">
                  <c:v>922</c:v>
                </c:pt>
                <c:pt idx="13" formatCode="General">
                  <c:v>923</c:v>
                </c:pt>
                <c:pt idx="14" formatCode="General">
                  <c:v>924</c:v>
                </c:pt>
              </c:numCache>
            </c:numRef>
          </c:xVal>
          <c:yVal>
            <c:numRef>
              <c:f>Sheet4!$D$7:$R$7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113.9</c:v>
                </c:pt>
                <c:pt idx="2">
                  <c:v>164</c:v>
                </c:pt>
                <c:pt idx="3">
                  <c:v>227.8</c:v>
                </c:pt>
                <c:pt idx="4">
                  <c:v>227.8</c:v>
                </c:pt>
                <c:pt idx="5">
                  <c:v>227.8</c:v>
                </c:pt>
                <c:pt idx="6">
                  <c:v>227.8</c:v>
                </c:pt>
                <c:pt idx="7">
                  <c:v>227.8</c:v>
                </c:pt>
                <c:pt idx="8">
                  <c:v>227.8</c:v>
                </c:pt>
                <c:pt idx="9">
                  <c:v>227.8</c:v>
                </c:pt>
                <c:pt idx="10">
                  <c:v>227.8</c:v>
                </c:pt>
                <c:pt idx="11">
                  <c:v>227.8</c:v>
                </c:pt>
                <c:pt idx="12">
                  <c:v>227.8</c:v>
                </c:pt>
                <c:pt idx="13" formatCode="General">
                  <c:v>227.8</c:v>
                </c:pt>
                <c:pt idx="14" formatCode="General">
                  <c:v>227.8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Sheet4!$J$26:$J$45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4.6097999252994303E-3</c:v>
                </c:pt>
                <c:pt idx="2">
                  <c:v>9.6531010363682807E-3</c:v>
                </c:pt>
                <c:pt idx="3">
                  <c:v>1.4806490124128401E-2</c:v>
                </c:pt>
                <c:pt idx="4">
                  <c:v>2.0124396711414499E-2</c:v>
                </c:pt>
                <c:pt idx="5">
                  <c:v>2.62361032278428E-2</c:v>
                </c:pt>
                <c:pt idx="6">
                  <c:v>3.3102891559196303E-2</c:v>
                </c:pt>
                <c:pt idx="7">
                  <c:v>4.0542232459143603E-2</c:v>
                </c:pt>
                <c:pt idx="8">
                  <c:v>4.8451682978981399E-2</c:v>
                </c:pt>
                <c:pt idx="9">
                  <c:v>5.6817701010005599E-2</c:v>
                </c:pt>
                <c:pt idx="10">
                  <c:v>6.5755956892036699E-2</c:v>
                </c:pt>
                <c:pt idx="11">
                  <c:v>7.5286042386758095E-2</c:v>
                </c:pt>
                <c:pt idx="12">
                  <c:v>8.5419593329442503E-2</c:v>
                </c:pt>
                <c:pt idx="13">
                  <c:v>9.6154541589562006E-2</c:v>
                </c:pt>
                <c:pt idx="14">
                  <c:v>0.107474013662876</c:v>
                </c:pt>
                <c:pt idx="15">
                  <c:v>0.119309702323111</c:v>
                </c:pt>
                <c:pt idx="16">
                  <c:v>0.13160057292538299</c:v>
                </c:pt>
                <c:pt idx="17">
                  <c:v>0.14428539053447001</c:v>
                </c:pt>
                <c:pt idx="18">
                  <c:v>0.157502673031506</c:v>
                </c:pt>
                <c:pt idx="19">
                  <c:v>0.171281801812006</c:v>
                </c:pt>
              </c:numCache>
            </c:numRef>
          </c:xVal>
          <c:yVal>
            <c:numRef>
              <c:f>Sheet4!$L$26:$L$45</c:f>
              <c:numCache>
                <c:formatCode>0.00</c:formatCode>
                <c:ptCount val="20"/>
                <c:pt idx="0">
                  <c:v>4.9779779211499452E-7</c:v>
                </c:pt>
                <c:pt idx="1">
                  <c:v>22.947482249059274</c:v>
                </c:pt>
                <c:pt idx="2">
                  <c:v>48.052923829670931</c:v>
                </c:pt>
                <c:pt idx="3">
                  <c:v>73.706380927636161</c:v>
                </c:pt>
                <c:pt idx="4">
                  <c:v>100.17880250588441</c:v>
                </c:pt>
                <c:pt idx="5">
                  <c:v>117.49393208958662</c:v>
                </c:pt>
                <c:pt idx="6">
                  <c:v>125.0141306441776</c:v>
                </c:pt>
                <c:pt idx="7">
                  <c:v>133.16136308870406</c:v>
                </c:pt>
                <c:pt idx="8">
                  <c:v>141.82343850106409</c:v>
                </c:pt>
                <c:pt idx="9">
                  <c:v>150.98552617126748</c:v>
                </c:pt>
                <c:pt idx="10">
                  <c:v>160.77430306682197</c:v>
                </c:pt>
                <c:pt idx="11">
                  <c:v>167.60591186481517</c:v>
                </c:pt>
                <c:pt idx="12">
                  <c:v>173.25570626463474</c:v>
                </c:pt>
                <c:pt idx="13">
                  <c:v>179.24079983207349</c:v>
                </c:pt>
                <c:pt idx="14">
                  <c:v>185.55178502279637</c:v>
                </c:pt>
                <c:pt idx="15">
                  <c:v>192.15057826800964</c:v>
                </c:pt>
                <c:pt idx="16">
                  <c:v>199.00315070686898</c:v>
                </c:pt>
                <c:pt idx="17">
                  <c:v>206.07536180995626</c:v>
                </c:pt>
                <c:pt idx="18">
                  <c:v>213.44443994011593</c:v>
                </c:pt>
                <c:pt idx="19">
                  <c:v>221.12676621042104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Sheet4!$D$10:$R$10</c:f>
              <c:numCache>
                <c:formatCode>General</c:formatCode>
                <c:ptCount val="15"/>
                <c:pt idx="0">
                  <c:v>0</c:v>
                </c:pt>
                <c:pt idx="1">
                  <c:v>2.2849999999999999E-2</c:v>
                </c:pt>
                <c:pt idx="2">
                  <c:v>6.855E-2</c:v>
                </c:pt>
                <c:pt idx="3">
                  <c:v>0.18279999999999999</c:v>
                </c:pt>
                <c:pt idx="4">
                  <c:v>914</c:v>
                </c:pt>
                <c:pt idx="5">
                  <c:v>915</c:v>
                </c:pt>
                <c:pt idx="6">
                  <c:v>916</c:v>
                </c:pt>
                <c:pt idx="7">
                  <c:v>917</c:v>
                </c:pt>
                <c:pt idx="8">
                  <c:v>918</c:v>
                </c:pt>
                <c:pt idx="9">
                  <c:v>919</c:v>
                </c:pt>
                <c:pt idx="10">
                  <c:v>920</c:v>
                </c:pt>
                <c:pt idx="11">
                  <c:v>921</c:v>
                </c:pt>
                <c:pt idx="12">
                  <c:v>922</c:v>
                </c:pt>
                <c:pt idx="13">
                  <c:v>923</c:v>
                </c:pt>
                <c:pt idx="14">
                  <c:v>924</c:v>
                </c:pt>
              </c:numCache>
            </c:numRef>
          </c:xVal>
          <c:yVal>
            <c:numRef>
              <c:f>Sheet4!$D$9:$R$9</c:f>
              <c:numCache>
                <c:formatCode>General</c:formatCode>
                <c:ptCount val="15"/>
                <c:pt idx="0">
                  <c:v>0</c:v>
                </c:pt>
                <c:pt idx="1">
                  <c:v>145.6</c:v>
                </c:pt>
                <c:pt idx="2">
                  <c:v>209.6</c:v>
                </c:pt>
                <c:pt idx="3">
                  <c:v>291.2</c:v>
                </c:pt>
                <c:pt idx="4">
                  <c:v>291.2</c:v>
                </c:pt>
                <c:pt idx="5">
                  <c:v>291.2</c:v>
                </c:pt>
                <c:pt idx="6">
                  <c:v>291.2</c:v>
                </c:pt>
                <c:pt idx="7">
                  <c:v>291.2</c:v>
                </c:pt>
                <c:pt idx="8">
                  <c:v>291.2</c:v>
                </c:pt>
                <c:pt idx="9">
                  <c:v>291.2</c:v>
                </c:pt>
                <c:pt idx="10">
                  <c:v>291.2</c:v>
                </c:pt>
                <c:pt idx="11">
                  <c:v>291.2</c:v>
                </c:pt>
                <c:pt idx="12">
                  <c:v>291.2</c:v>
                </c:pt>
                <c:pt idx="13">
                  <c:v>291.2</c:v>
                </c:pt>
                <c:pt idx="14">
                  <c:v>291.2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Sheet4!$M$26:$M$45</c:f>
              <c:numCache>
                <c:formatCode>General</c:formatCode>
                <c:ptCount val="20"/>
                <c:pt idx="0" formatCode="0.00E+00">
                  <c:v>3.60234962188843E-3</c:v>
                </c:pt>
                <c:pt idx="1">
                  <c:v>7.5494803990694796E-3</c:v>
                </c:pt>
                <c:pt idx="2">
                  <c:v>1.15854113732768E-2</c:v>
                </c:pt>
                <c:pt idx="3">
                  <c:v>1.5754811774967899E-2</c:v>
                </c:pt>
                <c:pt idx="4">
                  <c:v>2.05677572521927E-2</c:v>
                </c:pt>
                <c:pt idx="5">
                  <c:v>2.6005607366544701E-2</c:v>
                </c:pt>
                <c:pt idx="6">
                  <c:v>3.1926258269882303E-2</c:v>
                </c:pt>
                <c:pt idx="7">
                  <c:v>3.82478248758314E-2</c:v>
                </c:pt>
                <c:pt idx="8">
                  <c:v>4.4960537922871899E-2</c:v>
                </c:pt>
                <c:pt idx="9">
                  <c:v>5.2159875751270103E-2</c:v>
                </c:pt>
                <c:pt idx="10">
                  <c:v>5.98646790368026E-2</c:v>
                </c:pt>
                <c:pt idx="11">
                  <c:v>6.8087391658601004E-2</c:v>
                </c:pt>
                <c:pt idx="12">
                  <c:v>7.6828314891978597E-2</c:v>
                </c:pt>
                <c:pt idx="13">
                  <c:v>8.6075210046560602E-2</c:v>
                </c:pt>
                <c:pt idx="14">
                  <c:v>9.5770112663032494E-2</c:v>
                </c:pt>
                <c:pt idx="15">
                  <c:v>0.10586156122597901</c:v>
                </c:pt>
                <c:pt idx="16">
                  <c:v>0.116297389987323</c:v>
                </c:pt>
                <c:pt idx="17">
                  <c:v>0.12719314730157699</c:v>
                </c:pt>
                <c:pt idx="18">
                  <c:v>0.138572319769805</c:v>
                </c:pt>
                <c:pt idx="19">
                  <c:v>0.136518835142349</c:v>
                </c:pt>
              </c:numCache>
            </c:numRef>
          </c:xVal>
          <c:yVal>
            <c:numRef>
              <c:f>Sheet4!$O$26:$O$45</c:f>
              <c:numCache>
                <c:formatCode>0.00</c:formatCode>
                <c:ptCount val="20"/>
                <c:pt idx="0">
                  <c:v>22.935595794885391</c:v>
                </c:pt>
                <c:pt idx="1">
                  <c:v>48.066359201330812</c:v>
                </c:pt>
                <c:pt idx="2">
                  <c:v>73.76249955318066</c:v>
                </c:pt>
                <c:pt idx="3">
                  <c:v>100.3084188440711</c:v>
                </c:pt>
                <c:pt idx="4">
                  <c:v>130.95168883033574</c:v>
                </c:pt>
                <c:pt idx="5">
                  <c:v>149.95210903137468</c:v>
                </c:pt>
                <c:pt idx="6">
                  <c:v>158.24519755615924</c:v>
                </c:pt>
                <c:pt idx="7">
                  <c:v>167.09985092694117</c:v>
                </c:pt>
                <c:pt idx="8">
                  <c:v>176.50238528498031</c:v>
                </c:pt>
                <c:pt idx="9">
                  <c:v>186.58653767050308</c:v>
                </c:pt>
                <c:pt idx="10">
                  <c:v>197.37869832246062</c:v>
                </c:pt>
                <c:pt idx="11">
                  <c:v>208.8962974512992</c:v>
                </c:pt>
                <c:pt idx="12">
                  <c:v>215.46805832766734</c:v>
                </c:pt>
                <c:pt idx="13">
                  <c:v>222.06189403241581</c:v>
                </c:pt>
                <c:pt idx="14">
                  <c:v>228.97519779090771</c:v>
                </c:pt>
                <c:pt idx="15">
                  <c:v>236.1712730934405</c:v>
                </c:pt>
                <c:pt idx="16">
                  <c:v>243.61292125153545</c:v>
                </c:pt>
                <c:pt idx="17">
                  <c:v>251.38253823193349</c:v>
                </c:pt>
                <c:pt idx="18">
                  <c:v>259.4968720117771</c:v>
                </c:pt>
                <c:pt idx="19">
                  <c:v>258.03255993412074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Sheet4!$D$16:$R$16</c:f>
              <c:numCache>
                <c:formatCode>General</c:formatCode>
                <c:ptCount val="15"/>
                <c:pt idx="0">
                  <c:v>0</c:v>
                </c:pt>
                <c:pt idx="1">
                  <c:v>2.2849999999999999E-2</c:v>
                </c:pt>
                <c:pt idx="2">
                  <c:v>6.855E-2</c:v>
                </c:pt>
                <c:pt idx="3">
                  <c:v>0.18279999999999999</c:v>
                </c:pt>
                <c:pt idx="4">
                  <c:v>914</c:v>
                </c:pt>
                <c:pt idx="5">
                  <c:v>915</c:v>
                </c:pt>
                <c:pt idx="6">
                  <c:v>916</c:v>
                </c:pt>
                <c:pt idx="7">
                  <c:v>917</c:v>
                </c:pt>
                <c:pt idx="8">
                  <c:v>918</c:v>
                </c:pt>
                <c:pt idx="9">
                  <c:v>919</c:v>
                </c:pt>
                <c:pt idx="10">
                  <c:v>920</c:v>
                </c:pt>
                <c:pt idx="11">
                  <c:v>921</c:v>
                </c:pt>
                <c:pt idx="12">
                  <c:v>922</c:v>
                </c:pt>
                <c:pt idx="13">
                  <c:v>923</c:v>
                </c:pt>
                <c:pt idx="14">
                  <c:v>924</c:v>
                </c:pt>
              </c:numCache>
            </c:numRef>
          </c:xVal>
          <c:yVal>
            <c:numRef>
              <c:f>Sheet4!$D$15:$R$15</c:f>
              <c:numCache>
                <c:formatCode>General</c:formatCode>
                <c:ptCount val="15"/>
                <c:pt idx="0">
                  <c:v>0</c:v>
                </c:pt>
                <c:pt idx="1">
                  <c:v>191.9</c:v>
                </c:pt>
                <c:pt idx="2">
                  <c:v>276.3</c:v>
                </c:pt>
                <c:pt idx="3">
                  <c:v>383.7</c:v>
                </c:pt>
                <c:pt idx="4">
                  <c:v>383.7</c:v>
                </c:pt>
                <c:pt idx="5">
                  <c:v>383.7</c:v>
                </c:pt>
                <c:pt idx="6">
                  <c:v>383.7</c:v>
                </c:pt>
                <c:pt idx="7">
                  <c:v>383.7</c:v>
                </c:pt>
                <c:pt idx="8">
                  <c:v>383.7</c:v>
                </c:pt>
                <c:pt idx="9">
                  <c:v>383.7</c:v>
                </c:pt>
                <c:pt idx="10">
                  <c:v>383.7</c:v>
                </c:pt>
                <c:pt idx="11">
                  <c:v>383.7</c:v>
                </c:pt>
                <c:pt idx="12">
                  <c:v>383.7</c:v>
                </c:pt>
                <c:pt idx="13">
                  <c:v>383.7</c:v>
                </c:pt>
                <c:pt idx="14">
                  <c:v>383.7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Sheet4!$V$26:$V$45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1.18903494486375E-3</c:v>
                </c:pt>
                <c:pt idx="2">
                  <c:v>2.4971040493576E-3</c:v>
                </c:pt>
                <c:pt idx="3">
                  <c:v>3.83795204253558E-3</c:v>
                </c:pt>
                <c:pt idx="4">
                  <c:v>5.2287952051283497E-3</c:v>
                </c:pt>
                <c:pt idx="5">
                  <c:v>6.8543689838678097E-3</c:v>
                </c:pt>
                <c:pt idx="6">
                  <c:v>8.7210737245793698E-3</c:v>
                </c:pt>
                <c:pt idx="7">
                  <c:v>1.0787705231347099E-2</c:v>
                </c:pt>
                <c:pt idx="8">
                  <c:v>1.30311397054504E-2</c:v>
                </c:pt>
                <c:pt idx="9">
                  <c:v>1.5453622131832601E-2</c:v>
                </c:pt>
                <c:pt idx="10">
                  <c:v>1.8096012623868001E-2</c:v>
                </c:pt>
                <c:pt idx="11">
                  <c:v>2.0971806075902499E-2</c:v>
                </c:pt>
                <c:pt idx="12">
                  <c:v>2.4092409381833501E-2</c:v>
                </c:pt>
                <c:pt idx="13">
                  <c:v>2.7463231868116299E-2</c:v>
                </c:pt>
                <c:pt idx="14">
                  <c:v>3.1085074067488401E-2</c:v>
                </c:pt>
                <c:pt idx="15">
                  <c:v>3.4933253507378803E-2</c:v>
                </c:pt>
                <c:pt idx="16">
                  <c:v>3.8986961239731097E-2</c:v>
                </c:pt>
                <c:pt idx="17">
                  <c:v>4.3223305328427997E-2</c:v>
                </c:pt>
                <c:pt idx="18">
                  <c:v>4.7693941764493798E-2</c:v>
                </c:pt>
                <c:pt idx="19">
                  <c:v>5.2407356965181798E-2</c:v>
                </c:pt>
              </c:numCache>
            </c:numRef>
          </c:xVal>
          <c:yVal>
            <c:numRef>
              <c:f>Sheet4!$X$26:$X$45</c:f>
              <c:numCache>
                <c:formatCode>0.00</c:formatCode>
                <c:ptCount val="20"/>
                <c:pt idx="0">
                  <c:v>8.3914793966092296E-7</c:v>
                </c:pt>
                <c:pt idx="1">
                  <c:v>9.9777622416726164</c:v>
                </c:pt>
                <c:pt idx="2">
                  <c:v>20.954397181373796</c:v>
                </c:pt>
                <c:pt idx="3">
                  <c:v>32.206095490111657</c:v>
                </c:pt>
                <c:pt idx="4">
                  <c:v>43.877327232923776</c:v>
                </c:pt>
                <c:pt idx="5">
                  <c:v>57.518296104884072</c:v>
                </c:pt>
                <c:pt idx="6">
                  <c:v>73.182710476117904</c:v>
                </c:pt>
                <c:pt idx="7">
                  <c:v>90.524806185543298</c:v>
                </c:pt>
                <c:pt idx="8">
                  <c:v>109.3505403526238</c:v>
                </c:pt>
                <c:pt idx="9">
                  <c:v>129.67875172225831</c:v>
                </c:pt>
                <c:pt idx="10">
                  <c:v>151.85231709396874</c:v>
                </c:pt>
                <c:pt idx="11">
                  <c:v>175.98447859562006</c:v>
                </c:pt>
                <c:pt idx="12">
                  <c:v>194.10440135237207</c:v>
                </c:pt>
                <c:pt idx="13">
                  <c:v>200.32736258989172</c:v>
                </c:pt>
                <c:pt idx="14">
                  <c:v>207.01373771252736</c:v>
                </c:pt>
                <c:pt idx="15">
                  <c:v>214.11795977907263</c:v>
                </c:pt>
                <c:pt idx="16">
                  <c:v>221.60161286057306</c:v>
                </c:pt>
                <c:pt idx="17">
                  <c:v>229.42243557076773</c:v>
                </c:pt>
                <c:pt idx="18">
                  <c:v>237.675791350222</c:v>
                </c:pt>
                <c:pt idx="19">
                  <c:v>246.37734718995517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Sheet4!$D$18:$R$18</c:f>
              <c:numCache>
                <c:formatCode>General</c:formatCode>
                <c:ptCount val="15"/>
                <c:pt idx="0">
                  <c:v>0</c:v>
                </c:pt>
                <c:pt idx="1">
                  <c:v>4.2379999999999996E-3</c:v>
                </c:pt>
                <c:pt idx="2">
                  <c:v>8.4759999999999992E-3</c:v>
                </c:pt>
                <c:pt idx="3">
                  <c:v>1.2710000000000001E-2</c:v>
                </c:pt>
                <c:pt idx="4">
                  <c:v>1.695E-2</c:v>
                </c:pt>
                <c:pt idx="5">
                  <c:v>2.1190000000000001E-2</c:v>
                </c:pt>
                <c:pt idx="6">
                  <c:v>2.5430000000000001E-2</c:v>
                </c:pt>
                <c:pt idx="7">
                  <c:v>2.9669999999999998E-2</c:v>
                </c:pt>
                <c:pt idx="8">
                  <c:v>3.3910000000000003E-2</c:v>
                </c:pt>
                <c:pt idx="9">
                  <c:v>3.814E-2</c:v>
                </c:pt>
                <c:pt idx="10">
                  <c:v>914</c:v>
                </c:pt>
                <c:pt idx="11">
                  <c:v>915</c:v>
                </c:pt>
                <c:pt idx="12">
                  <c:v>916</c:v>
                </c:pt>
                <c:pt idx="13">
                  <c:v>917</c:v>
                </c:pt>
                <c:pt idx="14">
                  <c:v>918</c:v>
                </c:pt>
              </c:numCache>
            </c:numRef>
          </c:xVal>
          <c:yVal>
            <c:numRef>
              <c:f>Sheet4!$D$17:$R$17</c:f>
              <c:numCache>
                <c:formatCode>General</c:formatCode>
                <c:ptCount val="15"/>
                <c:pt idx="0">
                  <c:v>0</c:v>
                </c:pt>
                <c:pt idx="1">
                  <c:v>1635</c:v>
                </c:pt>
                <c:pt idx="2">
                  <c:v>2823</c:v>
                </c:pt>
                <c:pt idx="3">
                  <c:v>3499</c:v>
                </c:pt>
                <c:pt idx="4">
                  <c:v>3833</c:v>
                </c:pt>
                <c:pt idx="5">
                  <c:v>3985</c:v>
                </c:pt>
                <c:pt idx="6">
                  <c:v>4053</c:v>
                </c:pt>
                <c:pt idx="7">
                  <c:v>4082</c:v>
                </c:pt>
                <c:pt idx="8">
                  <c:v>4095</c:v>
                </c:pt>
                <c:pt idx="9">
                  <c:v>4100</c:v>
                </c:pt>
                <c:pt idx="10">
                  <c:v>4105</c:v>
                </c:pt>
                <c:pt idx="11">
                  <c:v>4105</c:v>
                </c:pt>
                <c:pt idx="12">
                  <c:v>4105</c:v>
                </c:pt>
                <c:pt idx="13">
                  <c:v>4105</c:v>
                </c:pt>
                <c:pt idx="14">
                  <c:v>4105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Sheet4!$Y$26:$Y$45</c:f>
              <c:numCache>
                <c:formatCode>0.00E+00</c:formatCode>
                <c:ptCount val="20"/>
                <c:pt idx="0">
                  <c:v>1E-10</c:v>
                </c:pt>
                <c:pt idx="1">
                  <c:v>7.29604463231538E-4</c:v>
                </c:pt>
                <c:pt idx="2">
                  <c:v>2.6779214322582602E-3</c:v>
                </c:pt>
                <c:pt idx="3" formatCode="General">
                  <c:v>5.1332568669735902E-3</c:v>
                </c:pt>
                <c:pt idx="4" formatCode="General">
                  <c:v>8.03922356577658E-3</c:v>
                </c:pt>
                <c:pt idx="5" formatCode="General">
                  <c:v>1.14955838650372E-2</c:v>
                </c:pt>
                <c:pt idx="6" formatCode="General">
                  <c:v>1.5711534968101099E-2</c:v>
                </c:pt>
                <c:pt idx="7" formatCode="General">
                  <c:v>2.0751055165872299E-2</c:v>
                </c:pt>
                <c:pt idx="8" formatCode="General">
                  <c:v>2.6553657795803199E-2</c:v>
                </c:pt>
                <c:pt idx="9" formatCode="General">
                  <c:v>3.3119577925271697E-2</c:v>
                </c:pt>
                <c:pt idx="10" formatCode="General">
                  <c:v>4.0543647382050803E-2</c:v>
                </c:pt>
                <c:pt idx="11" formatCode="General">
                  <c:v>4.8763033219078197E-2</c:v>
                </c:pt>
                <c:pt idx="12" formatCode="General">
                  <c:v>5.7704994129879297E-2</c:v>
                </c:pt>
                <c:pt idx="13" formatCode="General">
                  <c:v>6.7288996273715707E-2</c:v>
                </c:pt>
                <c:pt idx="14" formatCode="General">
                  <c:v>7.7461311156784105E-2</c:v>
                </c:pt>
                <c:pt idx="15" formatCode="General">
                  <c:v>8.81876220593375E-2</c:v>
                </c:pt>
                <c:pt idx="16" formatCode="General">
                  <c:v>9.9448805332066903E-2</c:v>
                </c:pt>
                <c:pt idx="17" formatCode="General">
                  <c:v>0.111230643675855</c:v>
                </c:pt>
                <c:pt idx="18" formatCode="General">
                  <c:v>0.123525808577561</c:v>
                </c:pt>
                <c:pt idx="19" formatCode="General">
                  <c:v>0.13632653848242601</c:v>
                </c:pt>
              </c:numCache>
            </c:numRef>
          </c:xVal>
          <c:yVal>
            <c:numRef>
              <c:f>Sheet4!$AA$26:$AA$45</c:f>
              <c:numCache>
                <c:formatCode>0.00</c:formatCode>
                <c:ptCount val="20"/>
                <c:pt idx="0">
                  <c:v>4.1745270122484691E-5</c:v>
                </c:pt>
                <c:pt idx="1">
                  <c:v>304.03040456260175</c:v>
                </c:pt>
                <c:pt idx="2">
                  <c:v>1091.6624322447637</c:v>
                </c:pt>
                <c:pt idx="3">
                  <c:v>1970.9809942139218</c:v>
                </c:pt>
                <c:pt idx="4">
                  <c:v>2776.3722441522091</c:v>
                </c:pt>
                <c:pt idx="5">
                  <c:v>3403.5826784188102</c:v>
                </c:pt>
                <c:pt idx="6">
                  <c:v>3814.3356724145783</c:v>
                </c:pt>
                <c:pt idx="7">
                  <c:v>4026.6170268083442</c:v>
                </c:pt>
                <c:pt idx="8">
                  <c:v>4113.0600911642059</c:v>
                </c:pt>
                <c:pt idx="9">
                  <c:v>4142.1171811499235</c:v>
                </c:pt>
                <c:pt idx="10">
                  <c:v>4150.3641727330496</c:v>
                </c:pt>
                <c:pt idx="11">
                  <c:v>4152.2998049015423</c:v>
                </c:pt>
                <c:pt idx="12">
                  <c:v>4152.6826049652445</c:v>
                </c:pt>
                <c:pt idx="13">
                  <c:v>4152.7475512840119</c:v>
                </c:pt>
                <c:pt idx="14">
                  <c:v>4152.7571877483597</c:v>
                </c:pt>
                <c:pt idx="15">
                  <c:v>4152.7584538819447</c:v>
                </c:pt>
                <c:pt idx="16">
                  <c:v>4152.7586023650047</c:v>
                </c:pt>
                <c:pt idx="17">
                  <c:v>4152.7586179746613</c:v>
                </c:pt>
                <c:pt idx="18">
                  <c:v>4152.7586194505247</c:v>
                </c:pt>
                <c:pt idx="19">
                  <c:v>4152.758619576236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Sheet4!$D$20:$R$20</c:f>
              <c:numCache>
                <c:formatCode>General</c:formatCode>
                <c:ptCount val="15"/>
                <c:pt idx="0">
                  <c:v>0</c:v>
                </c:pt>
                <c:pt idx="1">
                  <c:v>4.8450000000000003E-3</c:v>
                </c:pt>
                <c:pt idx="2">
                  <c:v>9.691E-3</c:v>
                </c:pt>
                <c:pt idx="3">
                  <c:v>1.4540000000000001E-2</c:v>
                </c:pt>
                <c:pt idx="4">
                  <c:v>1.9380000000000001E-2</c:v>
                </c:pt>
                <c:pt idx="5">
                  <c:v>2.4230000000000002E-2</c:v>
                </c:pt>
                <c:pt idx="6">
                  <c:v>2.9069999999999999E-2</c:v>
                </c:pt>
                <c:pt idx="7">
                  <c:v>3.3919999999999999E-2</c:v>
                </c:pt>
                <c:pt idx="8">
                  <c:v>3.8760000000000003E-2</c:v>
                </c:pt>
                <c:pt idx="9">
                  <c:v>4.3610000000000003E-2</c:v>
                </c:pt>
                <c:pt idx="10">
                  <c:v>914</c:v>
                </c:pt>
                <c:pt idx="11">
                  <c:v>915</c:v>
                </c:pt>
                <c:pt idx="12">
                  <c:v>916</c:v>
                </c:pt>
                <c:pt idx="13">
                  <c:v>917</c:v>
                </c:pt>
                <c:pt idx="14">
                  <c:v>918</c:v>
                </c:pt>
              </c:numCache>
            </c:numRef>
          </c:xVal>
          <c:yVal>
            <c:numRef>
              <c:f>Sheet4!$D$19:$R$19</c:f>
              <c:numCache>
                <c:formatCode>General</c:formatCode>
                <c:ptCount val="15"/>
                <c:pt idx="0">
                  <c:v>0</c:v>
                </c:pt>
                <c:pt idx="1">
                  <c:v>2169</c:v>
                </c:pt>
                <c:pt idx="2">
                  <c:v>3744</c:v>
                </c:pt>
                <c:pt idx="3">
                  <c:v>4641</c:v>
                </c:pt>
                <c:pt idx="4">
                  <c:v>5083</c:v>
                </c:pt>
                <c:pt idx="5">
                  <c:v>5286</c:v>
                </c:pt>
                <c:pt idx="6">
                  <c:v>5375</c:v>
                </c:pt>
                <c:pt idx="7">
                  <c:v>5414</c:v>
                </c:pt>
                <c:pt idx="8">
                  <c:v>5431</c:v>
                </c:pt>
                <c:pt idx="9">
                  <c:v>5438</c:v>
                </c:pt>
                <c:pt idx="10">
                  <c:v>5444</c:v>
                </c:pt>
                <c:pt idx="11">
                  <c:v>5444</c:v>
                </c:pt>
                <c:pt idx="12">
                  <c:v>5444</c:v>
                </c:pt>
                <c:pt idx="13">
                  <c:v>5444</c:v>
                </c:pt>
                <c:pt idx="14">
                  <c:v>5444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Sheet4!$AB$26:$AB$45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2.6444297872973499E-4</c:v>
                </c:pt>
                <c:pt idx="2">
                  <c:v>5.5328349766373098E-4</c:v>
                </c:pt>
                <c:pt idx="3">
                  <c:v>8.0947638366667195E-4</c:v>
                </c:pt>
                <c:pt idx="4">
                  <c:v>1.0021068019650599E-3</c:v>
                </c:pt>
                <c:pt idx="5">
                  <c:v>1.08386099557018E-3</c:v>
                </c:pt>
                <c:pt idx="6">
                  <c:v>9.9180005310526708E-4</c:v>
                </c:pt>
                <c:pt idx="7">
                  <c:v>6.6505670989200902E-4</c:v>
                </c:pt>
                <c:pt idx="8" formatCode="0.00E+00">
                  <c:v>7.3187494878384802E-5</c:v>
                </c:pt>
                <c:pt idx="9">
                  <c:v>8.12760024560377E-4</c:v>
                </c:pt>
                <c:pt idx="10">
                  <c:v>2.0463879561988399E-3</c:v>
                </c:pt>
                <c:pt idx="11">
                  <c:v>3.66136042168553E-3</c:v>
                </c:pt>
                <c:pt idx="12">
                  <c:v>5.6836651727410203E-3</c:v>
                </c:pt>
                <c:pt idx="13">
                  <c:v>8.1213600508816507E-3</c:v>
                </c:pt>
                <c:pt idx="14">
                  <c:v>1.0980667660295601E-2</c:v>
                </c:pt>
                <c:pt idx="15">
                  <c:v>1.42656553336559E-2</c:v>
                </c:pt>
                <c:pt idx="16">
                  <c:v>1.7982105611544501E-2</c:v>
                </c:pt>
                <c:pt idx="17">
                  <c:v>2.2133119822196099E-2</c:v>
                </c:pt>
                <c:pt idx="18">
                  <c:v>2.6722594975709401E-2</c:v>
                </c:pt>
                <c:pt idx="19">
                  <c:v>3.1751571206346002E-2</c:v>
                </c:pt>
              </c:numCache>
            </c:numRef>
          </c:xVal>
          <c:yVal>
            <c:numRef>
              <c:f>Sheet4!$AD$26:$AD$45</c:f>
              <c:numCache>
                <c:formatCode>0.00</c:formatCode>
                <c:ptCount val="20"/>
                <c:pt idx="0">
                  <c:v>4.8424513342082237E-5</c:v>
                </c:pt>
                <c:pt idx="1">
                  <c:v>128.03221456576117</c:v>
                </c:pt>
                <c:pt idx="2">
                  <c:v>267.71423772515311</c:v>
                </c:pt>
                <c:pt idx="3">
                  <c:v>391.32617773472441</c:v>
                </c:pt>
                <c:pt idx="4">
                  <c:v>484.01671953000107</c:v>
                </c:pt>
                <c:pt idx="5">
                  <c:v>523.27541200529197</c:v>
                </c:pt>
                <c:pt idx="6">
                  <c:v>479.06378172332785</c:v>
                </c:pt>
                <c:pt idx="7">
                  <c:v>321.68486685438648</c:v>
                </c:pt>
                <c:pt idx="8">
                  <c:v>35.440200316764653</c:v>
                </c:pt>
                <c:pt idx="9">
                  <c:v>392.90822569348211</c:v>
                </c:pt>
                <c:pt idx="10">
                  <c:v>980.42352707700252</c:v>
                </c:pt>
                <c:pt idx="11">
                  <c:v>1714.331790052734</c:v>
                </c:pt>
                <c:pt idx="12">
                  <c:v>2544.453580133541</c:v>
                </c:pt>
                <c:pt idx="13">
                  <c:v>3378.5207420483271</c:v>
                </c:pt>
                <c:pt idx="14">
                  <c:v>4114.7870784582683</c:v>
                </c:pt>
                <c:pt idx="15">
                  <c:v>4682.1380455528324</c:v>
                </c:pt>
                <c:pt idx="16">
                  <c:v>5064.9516560646771</c:v>
                </c:pt>
                <c:pt idx="17">
                  <c:v>5293.0634469480319</c:v>
                </c:pt>
                <c:pt idx="18">
                  <c:v>5414.5905591696855</c:v>
                </c:pt>
                <c:pt idx="19">
                  <c:v>5473.0819686753066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Sheet4!$D$22:$R$22</c:f>
              <c:numCache>
                <c:formatCode>General</c:formatCode>
                <c:ptCount val="15"/>
                <c:pt idx="0">
                  <c:v>0</c:v>
                </c:pt>
                <c:pt idx="1">
                  <c:v>5.1489999999999999E-3</c:v>
                </c:pt>
                <c:pt idx="2">
                  <c:v>1.03E-2</c:v>
                </c:pt>
                <c:pt idx="3">
                  <c:v>1.545E-2</c:v>
                </c:pt>
                <c:pt idx="4">
                  <c:v>2.06E-2</c:v>
                </c:pt>
                <c:pt idx="5">
                  <c:v>2.5749999999999999E-2</c:v>
                </c:pt>
                <c:pt idx="6">
                  <c:v>3.0890000000000001E-2</c:v>
                </c:pt>
                <c:pt idx="7">
                  <c:v>3.6040000000000003E-2</c:v>
                </c:pt>
                <c:pt idx="8">
                  <c:v>4.1189999999999997E-2</c:v>
                </c:pt>
                <c:pt idx="9">
                  <c:v>4.6339999999999999E-2</c:v>
                </c:pt>
                <c:pt idx="10">
                  <c:v>914</c:v>
                </c:pt>
                <c:pt idx="11">
                  <c:v>915</c:v>
                </c:pt>
                <c:pt idx="12">
                  <c:v>916</c:v>
                </c:pt>
                <c:pt idx="13">
                  <c:v>917</c:v>
                </c:pt>
                <c:pt idx="14">
                  <c:v>918</c:v>
                </c:pt>
              </c:numCache>
            </c:numRef>
          </c:xVal>
          <c:yVal>
            <c:numRef>
              <c:f>Sheet4!$D$21:$R$21</c:f>
              <c:numCache>
                <c:formatCode>General</c:formatCode>
                <c:ptCount val="15"/>
                <c:pt idx="0">
                  <c:v>0</c:v>
                </c:pt>
                <c:pt idx="1">
                  <c:v>2464</c:v>
                </c:pt>
                <c:pt idx="2">
                  <c:v>4253</c:v>
                </c:pt>
                <c:pt idx="3">
                  <c:v>5272</c:v>
                </c:pt>
                <c:pt idx="4">
                  <c:v>5774</c:v>
                </c:pt>
                <c:pt idx="5">
                  <c:v>6004</c:v>
                </c:pt>
                <c:pt idx="6">
                  <c:v>6106</c:v>
                </c:pt>
                <c:pt idx="7">
                  <c:v>6150</c:v>
                </c:pt>
                <c:pt idx="8">
                  <c:v>6169</c:v>
                </c:pt>
                <c:pt idx="9">
                  <c:v>6177</c:v>
                </c:pt>
                <c:pt idx="10">
                  <c:v>6184</c:v>
                </c:pt>
                <c:pt idx="11">
                  <c:v>6184</c:v>
                </c:pt>
                <c:pt idx="12">
                  <c:v>6184</c:v>
                </c:pt>
                <c:pt idx="13">
                  <c:v>6184</c:v>
                </c:pt>
                <c:pt idx="14">
                  <c:v>6184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Sheet4!$AE$26:$AE$45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7.3802815408904497E-4</c:v>
                </c:pt>
                <c:pt idx="2">
                  <c:v>2.1043335715650101E-3</c:v>
                </c:pt>
                <c:pt idx="3">
                  <c:v>3.67200191154375E-3</c:v>
                </c:pt>
                <c:pt idx="4">
                  <c:v>5.3708904410655397E-3</c:v>
                </c:pt>
                <c:pt idx="5">
                  <c:v>7.1828538617718296E-3</c:v>
                </c:pt>
                <c:pt idx="6">
                  <c:v>9.1199670819589202E-3</c:v>
                </c:pt>
                <c:pt idx="7">
                  <c:v>1.1124940169705499E-2</c:v>
                </c:pt>
                <c:pt idx="8">
                  <c:v>1.3122166951402E-2</c:v>
                </c:pt>
                <c:pt idx="9">
                  <c:v>1.5067218100842701E-2</c:v>
                </c:pt>
                <c:pt idx="10">
                  <c:v>1.6925889338636198E-2</c:v>
                </c:pt>
                <c:pt idx="11">
                  <c:v>1.8615278251213299E-2</c:v>
                </c:pt>
                <c:pt idx="12">
                  <c:v>2.00590892205934E-2</c:v>
                </c:pt>
                <c:pt idx="13">
                  <c:v>2.1204131387672499E-2</c:v>
                </c:pt>
                <c:pt idx="14">
                  <c:v>2.20136051897457E-2</c:v>
                </c:pt>
                <c:pt idx="15">
                  <c:v>2.2463862320816E-2</c:v>
                </c:pt>
                <c:pt idx="16">
                  <c:v>2.2536418378141899E-2</c:v>
                </c:pt>
                <c:pt idx="17">
                  <c:v>2.2219347442751902E-2</c:v>
                </c:pt>
                <c:pt idx="18">
                  <c:v>2.1503038594459099E-2</c:v>
                </c:pt>
                <c:pt idx="19">
                  <c:v>2.0381976917378902E-2</c:v>
                </c:pt>
              </c:numCache>
            </c:numRef>
          </c:xVal>
          <c:yVal>
            <c:numRef>
              <c:f>Sheet4!$AG$26:$AG$45</c:f>
              <c:numCache>
                <c:formatCode>0.00</c:formatCode>
                <c:ptCount val="20"/>
                <c:pt idx="0">
                  <c:v>5.1764134951881011E-5</c:v>
                </c:pt>
                <c:pt idx="1">
                  <c:v>381.56149216041121</c:v>
                </c:pt>
                <c:pt idx="2">
                  <c:v>1078.4542250481156</c:v>
                </c:pt>
                <c:pt idx="3">
                  <c:v>1844.5770035534997</c:v>
                </c:pt>
                <c:pt idx="4">
                  <c:v>2611.1504743644027</c:v>
                </c:pt>
                <c:pt idx="5">
                  <c:v>3335.7413291568896</c:v>
                </c:pt>
                <c:pt idx="6">
                  <c:v>3992.9095425562118</c:v>
                </c:pt>
                <c:pt idx="7">
                  <c:v>4546.1625370926949</c:v>
                </c:pt>
                <c:pt idx="8">
                  <c:v>4980.2523264200345</c:v>
                </c:pt>
                <c:pt idx="9">
                  <c:v>5306.9222227332566</c:v>
                </c:pt>
                <c:pt idx="10">
                  <c:v>5546.3165209562339</c:v>
                </c:pt>
                <c:pt idx="11">
                  <c:v>5714.237873656245</c:v>
                </c:pt>
                <c:pt idx="12">
                  <c:v>5827.5681490109146</c:v>
                </c:pt>
                <c:pt idx="13">
                  <c:v>5901.2134979873472</c:v>
                </c:pt>
                <c:pt idx="14">
                  <c:v>5945.9156783823819</c:v>
                </c:pt>
                <c:pt idx="15">
                  <c:v>5968.4358973594271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Sheet4!$D$4:$R$4</c:f>
              <c:numCache>
                <c:formatCode>0.00</c:formatCode>
                <c:ptCount val="15"/>
                <c:pt idx="0">
                  <c:v>0</c:v>
                </c:pt>
                <c:pt idx="1">
                  <c:v>2.2849999999999999E-2</c:v>
                </c:pt>
                <c:pt idx="2">
                  <c:v>6.855E-2</c:v>
                </c:pt>
                <c:pt idx="3">
                  <c:v>0.18279999999999999</c:v>
                </c:pt>
                <c:pt idx="4">
                  <c:v>914</c:v>
                </c:pt>
                <c:pt idx="5">
                  <c:v>915</c:v>
                </c:pt>
                <c:pt idx="6">
                  <c:v>916</c:v>
                </c:pt>
                <c:pt idx="7">
                  <c:v>917</c:v>
                </c:pt>
                <c:pt idx="8">
                  <c:v>918</c:v>
                </c:pt>
                <c:pt idx="9">
                  <c:v>919</c:v>
                </c:pt>
                <c:pt idx="10">
                  <c:v>920</c:v>
                </c:pt>
                <c:pt idx="11">
                  <c:v>921</c:v>
                </c:pt>
                <c:pt idx="12">
                  <c:v>922</c:v>
                </c:pt>
                <c:pt idx="13" formatCode="General">
                  <c:v>923</c:v>
                </c:pt>
                <c:pt idx="14" formatCode="General">
                  <c:v>924</c:v>
                </c:pt>
              </c:numCache>
            </c:numRef>
          </c:xVal>
          <c:yVal>
            <c:numRef>
              <c:f>Sheet4!$D$3:$R$3</c:f>
              <c:numCache>
                <c:formatCode>0.00</c:formatCode>
                <c:ptCount val="15"/>
                <c:pt idx="0">
                  <c:v>0</c:v>
                </c:pt>
                <c:pt idx="1">
                  <c:v>64.89</c:v>
                </c:pt>
                <c:pt idx="2">
                  <c:v>93.45</c:v>
                </c:pt>
                <c:pt idx="3">
                  <c:v>129.80000000000001</c:v>
                </c:pt>
                <c:pt idx="4">
                  <c:v>129.80000000000001</c:v>
                </c:pt>
                <c:pt idx="5">
                  <c:v>129.80000000000001</c:v>
                </c:pt>
                <c:pt idx="6">
                  <c:v>129.80000000000001</c:v>
                </c:pt>
                <c:pt idx="7">
                  <c:v>129.80000000000001</c:v>
                </c:pt>
                <c:pt idx="8">
                  <c:v>129.80000000000001</c:v>
                </c:pt>
                <c:pt idx="9">
                  <c:v>129.80000000000001</c:v>
                </c:pt>
                <c:pt idx="10">
                  <c:v>129.80000000000001</c:v>
                </c:pt>
                <c:pt idx="11">
                  <c:v>129.80000000000001</c:v>
                </c:pt>
                <c:pt idx="12">
                  <c:v>129.80000000000001</c:v>
                </c:pt>
                <c:pt idx="13" formatCode="General">
                  <c:v>129.80000000000001</c:v>
                </c:pt>
                <c:pt idx="14" formatCode="General">
                  <c:v>129.80000000000001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Sheet4!$D$26:$D$45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6.0546275468125396E-3</c:v>
                </c:pt>
                <c:pt idx="2">
                  <c:v>1.26608617208768E-2</c:v>
                </c:pt>
                <c:pt idx="3">
                  <c:v>1.9405199439192399E-2</c:v>
                </c:pt>
                <c:pt idx="4">
                  <c:v>2.63538150236216E-2</c:v>
                </c:pt>
                <c:pt idx="5">
                  <c:v>3.4282509265197297E-2</c:v>
                </c:pt>
                <c:pt idx="6">
                  <c:v>4.3121145246782601E-2</c:v>
                </c:pt>
                <c:pt idx="7">
                  <c:v>5.2638533601340798E-2</c:v>
                </c:pt>
                <c:pt idx="8">
                  <c:v>6.2707943269279004E-2</c:v>
                </c:pt>
                <c:pt idx="9">
                  <c:v>7.3311711840767804E-2</c:v>
                </c:pt>
                <c:pt idx="10">
                  <c:v>8.4590794738759703E-2</c:v>
                </c:pt>
                <c:pt idx="11">
                  <c:v>9.6564626259954003E-2</c:v>
                </c:pt>
                <c:pt idx="12">
                  <c:v>0.109243408465676</c:v>
                </c:pt>
                <c:pt idx="13">
                  <c:v>0.12262220123376</c:v>
                </c:pt>
                <c:pt idx="14">
                  <c:v>0.136678611173429</c:v>
                </c:pt>
                <c:pt idx="15">
                  <c:v>0.15133208809368801</c:v>
                </c:pt>
                <c:pt idx="16">
                  <c:v>0.16651024043104201</c:v>
                </c:pt>
                <c:pt idx="17">
                  <c:v>0.182141073465374</c:v>
                </c:pt>
                <c:pt idx="18">
                  <c:v>0.19839196146483001</c:v>
                </c:pt>
                <c:pt idx="19">
                  <c:v>0.21529937758904599</c:v>
                </c:pt>
              </c:numCache>
            </c:numRef>
          </c:xVal>
          <c:yVal>
            <c:numRef>
              <c:f>Sheet4!$F$26:$F$45</c:f>
              <c:numCache>
                <c:formatCode>0.00</c:formatCode>
                <c:ptCount val="20"/>
                <c:pt idx="0">
                  <c:v>2.8317904404661963E-7</c:v>
                </c:pt>
                <c:pt idx="1">
                  <c:v>17.14543640764709</c:v>
                </c:pt>
                <c:pt idx="2">
                  <c:v>35.852907189243332</c:v>
                </c:pt>
                <c:pt idx="3">
                  <c:v>54.951458267245187</c:v>
                </c:pt>
                <c:pt idx="4">
                  <c:v>66.911354905680113</c:v>
                </c:pt>
                <c:pt idx="5">
                  <c:v>71.850883028588257</c:v>
                </c:pt>
                <c:pt idx="6">
                  <c:v>77.357299302059275</c:v>
                </c:pt>
                <c:pt idx="7">
                  <c:v>83.286574161400594</c:v>
                </c:pt>
                <c:pt idx="8">
                  <c:v>89.559754929937782</c:v>
                </c:pt>
                <c:pt idx="9">
                  <c:v>94.71872266750799</c:v>
                </c:pt>
                <c:pt idx="10">
                  <c:v>98.296002569817048</c:v>
                </c:pt>
                <c:pt idx="11">
                  <c:v>102.0936293132137</c:v>
                </c:pt>
                <c:pt idx="12">
                  <c:v>106.11483858886854</c:v>
                </c:pt>
                <c:pt idx="13">
                  <c:v>110.35806358501968</c:v>
                </c:pt>
                <c:pt idx="14">
                  <c:v>114.81620200199585</c:v>
                </c:pt>
                <c:pt idx="15">
                  <c:v>119.46370649858268</c:v>
                </c:pt>
                <c:pt idx="16">
                  <c:v>124.27761732818242</c:v>
                </c:pt>
                <c:pt idx="17">
                  <c:v>129.23510060725502</c:v>
                </c:pt>
                <c:pt idx="18">
                  <c:v>129.4694589381146</c:v>
                </c:pt>
                <c:pt idx="19">
                  <c:v>129.4694589381146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Sheet4!$F$52:$K$52</c:f>
              <c:numCache>
                <c:formatCode>General</c:formatCode>
                <c:ptCount val="6"/>
              </c:numCache>
            </c:numRef>
          </c:xVal>
          <c:yVal>
            <c:numRef>
              <c:f>Sheet4!$F$51:$K$51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7-44B5-AB94-7FF40500A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Sheet4!$D$14:$R$14</c:f>
              <c:numCache>
                <c:formatCode>General</c:formatCode>
                <c:ptCount val="15"/>
                <c:pt idx="0">
                  <c:v>0</c:v>
                </c:pt>
                <c:pt idx="1">
                  <c:v>2.2849999999999999E-2</c:v>
                </c:pt>
                <c:pt idx="2">
                  <c:v>6.855E-2</c:v>
                </c:pt>
                <c:pt idx="3">
                  <c:v>0.18279999999999999</c:v>
                </c:pt>
                <c:pt idx="4">
                  <c:v>914</c:v>
                </c:pt>
                <c:pt idx="5">
                  <c:v>915</c:v>
                </c:pt>
                <c:pt idx="6">
                  <c:v>916</c:v>
                </c:pt>
                <c:pt idx="7">
                  <c:v>917</c:v>
                </c:pt>
                <c:pt idx="8">
                  <c:v>918</c:v>
                </c:pt>
                <c:pt idx="9">
                  <c:v>919</c:v>
                </c:pt>
                <c:pt idx="10">
                  <c:v>920</c:v>
                </c:pt>
                <c:pt idx="11">
                  <c:v>921</c:v>
                </c:pt>
                <c:pt idx="12">
                  <c:v>922</c:v>
                </c:pt>
                <c:pt idx="13">
                  <c:v>923</c:v>
                </c:pt>
                <c:pt idx="14">
                  <c:v>924</c:v>
                </c:pt>
              </c:numCache>
            </c:numRef>
          </c:xVal>
          <c:yVal>
            <c:numRef>
              <c:f>Sheet4!$D$13:$R$13</c:f>
              <c:numCache>
                <c:formatCode>General</c:formatCode>
                <c:ptCount val="15"/>
                <c:pt idx="0">
                  <c:v>0</c:v>
                </c:pt>
                <c:pt idx="1">
                  <c:v>182.4</c:v>
                </c:pt>
                <c:pt idx="2">
                  <c:v>262.60000000000002</c:v>
                </c:pt>
                <c:pt idx="3">
                  <c:v>364.8</c:v>
                </c:pt>
                <c:pt idx="4">
                  <c:v>364.8</c:v>
                </c:pt>
                <c:pt idx="5">
                  <c:v>364.8</c:v>
                </c:pt>
                <c:pt idx="6">
                  <c:v>364.8</c:v>
                </c:pt>
                <c:pt idx="7">
                  <c:v>364.8</c:v>
                </c:pt>
                <c:pt idx="8">
                  <c:v>364.8</c:v>
                </c:pt>
                <c:pt idx="9">
                  <c:v>364.8</c:v>
                </c:pt>
                <c:pt idx="10">
                  <c:v>364.8</c:v>
                </c:pt>
                <c:pt idx="11">
                  <c:v>364.8</c:v>
                </c:pt>
                <c:pt idx="12">
                  <c:v>364.8</c:v>
                </c:pt>
                <c:pt idx="13">
                  <c:v>364.8</c:v>
                </c:pt>
                <c:pt idx="14">
                  <c:v>364.8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Sheet4!$S$26:$S$45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1.5834513618609701E-3</c:v>
                </c:pt>
                <c:pt idx="2">
                  <c:v>3.2809376724498699E-3</c:v>
                </c:pt>
                <c:pt idx="3">
                  <c:v>5.0105137863265901E-3</c:v>
                </c:pt>
                <c:pt idx="4">
                  <c:v>6.7933029229656702E-3</c:v>
                </c:pt>
                <c:pt idx="5">
                  <c:v>8.8483415897009105E-3</c:v>
                </c:pt>
                <c:pt idx="6">
                  <c:v>1.11933535450851E-2</c:v>
                </c:pt>
                <c:pt idx="7">
                  <c:v>1.3788123628913599E-2</c:v>
                </c:pt>
                <c:pt idx="8">
                  <c:v>1.6605441009484599E-2</c:v>
                </c:pt>
                <c:pt idx="9">
                  <c:v>1.9640094005426802E-2</c:v>
                </c:pt>
                <c:pt idx="10">
                  <c:v>2.29426302953392E-2</c:v>
                </c:pt>
                <c:pt idx="11">
                  <c:v>2.65433875186693E-2</c:v>
                </c:pt>
                <c:pt idx="12">
                  <c:v>3.0458776390356299E-2</c:v>
                </c:pt>
                <c:pt idx="13">
                  <c:v>3.4694938838231999E-2</c:v>
                </c:pt>
                <c:pt idx="14">
                  <c:v>3.9250935427478602E-2</c:v>
                </c:pt>
                <c:pt idx="15">
                  <c:v>4.4102625740149497E-2</c:v>
                </c:pt>
                <c:pt idx="16">
                  <c:v>4.9220759964014302E-2</c:v>
                </c:pt>
                <c:pt idx="17">
                  <c:v>5.4583967052746603E-2</c:v>
                </c:pt>
                <c:pt idx="18">
                  <c:v>6.02036768703249E-2</c:v>
                </c:pt>
                <c:pt idx="19">
                  <c:v>6.6136455116075493E-2</c:v>
                </c:pt>
              </c:numCache>
            </c:numRef>
          </c:xVal>
          <c:yVal>
            <c:numRef>
              <c:f>Sheet4!$U$26:$U$45</c:f>
              <c:numCache>
                <c:formatCode>0.00</c:formatCode>
                <c:ptCount val="20"/>
                <c:pt idx="0">
                  <c:v>7.9765522738651035E-7</c:v>
                </c:pt>
                <c:pt idx="1">
                  <c:v>12.63048256100689</c:v>
                </c:pt>
                <c:pt idx="2">
                  <c:v>26.170570851589677</c:v>
                </c:pt>
                <c:pt idx="3">
                  <c:v>39.966625135555773</c:v>
                </c:pt>
                <c:pt idx="4">
                  <c:v>54.187135877236223</c:v>
                </c:pt>
                <c:pt idx="5">
                  <c:v>70.579259227264004</c:v>
                </c:pt>
                <c:pt idx="6">
                  <c:v>89.284369672224727</c:v>
                </c:pt>
                <c:pt idx="7">
                  <c:v>109.98168888454396</c:v>
                </c:pt>
                <c:pt idx="8">
                  <c:v>132.45416824273732</c:v>
                </c:pt>
                <c:pt idx="9">
                  <c:v>156.6602364979112</c:v>
                </c:pt>
                <c:pt idx="10">
                  <c:v>182.48898805199477</c:v>
                </c:pt>
                <c:pt idx="11">
                  <c:v>188.80774625982065</c:v>
                </c:pt>
                <c:pt idx="12">
                  <c:v>195.67863314147527</c:v>
                </c:pt>
                <c:pt idx="13">
                  <c:v>203.11242680680994</c:v>
                </c:pt>
                <c:pt idx="14">
                  <c:v>211.10747869661853</c:v>
                </c:pt>
                <c:pt idx="15">
                  <c:v>219.62142620365594</c:v>
                </c:pt>
                <c:pt idx="16">
                  <c:v>228.60294054354549</c:v>
                </c:pt>
                <c:pt idx="17">
                  <c:v>238.01451891729005</c:v>
                </c:pt>
                <c:pt idx="18">
                  <c:v>247.87621892453959</c:v>
                </c:pt>
                <c:pt idx="19">
                  <c:v>258.28730440196523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Sheet4!$D$12:$R$12</c:f>
              <c:numCache>
                <c:formatCode>General</c:formatCode>
                <c:ptCount val="15"/>
                <c:pt idx="0">
                  <c:v>0</c:v>
                </c:pt>
                <c:pt idx="1">
                  <c:v>2.2849999999999999E-2</c:v>
                </c:pt>
                <c:pt idx="2">
                  <c:v>6.855E-2</c:v>
                </c:pt>
                <c:pt idx="3">
                  <c:v>0.18279999999999999</c:v>
                </c:pt>
                <c:pt idx="4">
                  <c:v>914</c:v>
                </c:pt>
                <c:pt idx="5">
                  <c:v>915</c:v>
                </c:pt>
                <c:pt idx="6">
                  <c:v>916</c:v>
                </c:pt>
                <c:pt idx="7">
                  <c:v>917</c:v>
                </c:pt>
                <c:pt idx="8">
                  <c:v>918</c:v>
                </c:pt>
                <c:pt idx="9">
                  <c:v>919</c:v>
                </c:pt>
                <c:pt idx="10">
                  <c:v>920</c:v>
                </c:pt>
                <c:pt idx="11">
                  <c:v>921</c:v>
                </c:pt>
                <c:pt idx="12">
                  <c:v>922</c:v>
                </c:pt>
                <c:pt idx="13">
                  <c:v>923</c:v>
                </c:pt>
                <c:pt idx="14">
                  <c:v>924</c:v>
                </c:pt>
              </c:numCache>
            </c:numRef>
          </c:xVal>
          <c:yVal>
            <c:numRef>
              <c:f>Sheet4!$D$11:$R$11</c:f>
              <c:numCache>
                <c:formatCode>General</c:formatCode>
                <c:ptCount val="15"/>
                <c:pt idx="0">
                  <c:v>0</c:v>
                </c:pt>
                <c:pt idx="1">
                  <c:v>163.80000000000001</c:v>
                </c:pt>
                <c:pt idx="2">
                  <c:v>235.8</c:v>
                </c:pt>
                <c:pt idx="3">
                  <c:v>327.5</c:v>
                </c:pt>
                <c:pt idx="4">
                  <c:v>327.5</c:v>
                </c:pt>
                <c:pt idx="5">
                  <c:v>327.5</c:v>
                </c:pt>
                <c:pt idx="6">
                  <c:v>327.5</c:v>
                </c:pt>
                <c:pt idx="7">
                  <c:v>327.5</c:v>
                </c:pt>
                <c:pt idx="8">
                  <c:v>327.5</c:v>
                </c:pt>
                <c:pt idx="9">
                  <c:v>327.5</c:v>
                </c:pt>
                <c:pt idx="10">
                  <c:v>327.5</c:v>
                </c:pt>
                <c:pt idx="11">
                  <c:v>327.5</c:v>
                </c:pt>
                <c:pt idx="12">
                  <c:v>327.5</c:v>
                </c:pt>
                <c:pt idx="13">
                  <c:v>327.5</c:v>
                </c:pt>
                <c:pt idx="14">
                  <c:v>327.5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0-4478-A091-65C56EB39E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Sheet4!$P$26:$P$45</c:f>
              <c:numCache>
                <c:formatCode>General</c:formatCode>
                <c:ptCount val="20"/>
                <c:pt idx="0" formatCode="0.00E+00">
                  <c:v>1E-10</c:v>
                </c:pt>
                <c:pt idx="1">
                  <c:v>2.53632485047356E-3</c:v>
                </c:pt>
                <c:pt idx="2">
                  <c:v>5.2517122181963702E-3</c:v>
                </c:pt>
                <c:pt idx="3">
                  <c:v>8.01524180426684E-3</c:v>
                </c:pt>
                <c:pt idx="4">
                  <c:v>1.085852843583E-2</c:v>
                </c:pt>
                <c:pt idx="5">
                  <c:v>1.41199554725885E-2</c:v>
                </c:pt>
                <c:pt idx="6">
                  <c:v>1.7816894728844498E-2</c:v>
                </c:pt>
                <c:pt idx="7">
                  <c:v>2.1878179694475398E-2</c:v>
                </c:pt>
                <c:pt idx="8">
                  <c:v>2.6255144217902999E-2</c:v>
                </c:pt>
                <c:pt idx="9">
                  <c:v>3.0934329030532899E-2</c:v>
                </c:pt>
                <c:pt idx="10">
                  <c:v>3.5987235059510202E-2</c:v>
                </c:pt>
                <c:pt idx="11">
                  <c:v>4.1453521030441698E-2</c:v>
                </c:pt>
                <c:pt idx="12">
                  <c:v>4.7351877220632999E-2</c:v>
                </c:pt>
                <c:pt idx="13">
                  <c:v>5.36869260887015E-2</c:v>
                </c:pt>
                <c:pt idx="14">
                  <c:v>6.0453624077247602E-2</c:v>
                </c:pt>
                <c:pt idx="15">
                  <c:v>6.7616151180693404E-2</c:v>
                </c:pt>
                <c:pt idx="16">
                  <c:v>7.5132340131947195E-2</c:v>
                </c:pt>
                <c:pt idx="17">
                  <c:v>8.2970715827891006E-2</c:v>
                </c:pt>
                <c:pt idx="18">
                  <c:v>9.1148261682897594E-2</c:v>
                </c:pt>
                <c:pt idx="19">
                  <c:v>9.9745236882488694E-2</c:v>
                </c:pt>
              </c:numCache>
            </c:numRef>
          </c:xVal>
          <c:yVal>
            <c:numRef>
              <c:f>Sheet4!$R$26:$R$45</c:f>
              <c:numCache>
                <c:formatCode>0.00</c:formatCode>
                <c:ptCount val="20"/>
                <c:pt idx="0">
                  <c:v>7.1616979035394904E-7</c:v>
                </c:pt>
                <c:pt idx="1">
                  <c:v>18.164392364331583</c:v>
                </c:pt>
                <c:pt idx="2">
                  <c:v>37.611176383049653</c:v>
                </c:pt>
                <c:pt idx="3">
                  <c:v>57.402740425979992</c:v>
                </c:pt>
                <c:pt idx="4">
                  <c:v>77.76550033440769</c:v>
                </c:pt>
                <c:pt idx="5">
                  <c:v>101.12285550610804</c:v>
                </c:pt>
                <c:pt idx="6">
                  <c:v>127.59921762714895</c:v>
                </c:pt>
                <c:pt idx="7">
                  <c:v>156.68491365118439</c:v>
                </c:pt>
                <c:pt idx="8">
                  <c:v>169.06571346497813</c:v>
                </c:pt>
                <c:pt idx="9">
                  <c:v>176.43811323881235</c:v>
                </c:pt>
                <c:pt idx="10">
                  <c:v>184.3993382720046</c:v>
                </c:pt>
                <c:pt idx="11">
                  <c:v>193.01187380320101</c:v>
                </c:pt>
                <c:pt idx="12">
                  <c:v>202.30516773875877</c:v>
                </c:pt>
                <c:pt idx="13">
                  <c:v>212.28650310215662</c:v>
                </c:pt>
                <c:pt idx="14">
                  <c:v>222.94793339781714</c:v>
                </c:pt>
                <c:pt idx="15">
                  <c:v>234.23302157279201</c:v>
                </c:pt>
                <c:pt idx="16">
                  <c:v>241.00733489353345</c:v>
                </c:pt>
                <c:pt idx="17">
                  <c:v>247.29457571787839</c:v>
                </c:pt>
                <c:pt idx="18">
                  <c:v>253.85386837453959</c:v>
                </c:pt>
                <c:pt idx="19">
                  <c:v>260.74958957207241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0-4478-A091-65C56EB3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8464"/>
        <c:axId val="124026064"/>
      </c:scatterChart>
      <c:valAx>
        <c:axId val="124028464"/>
        <c:scaling>
          <c:orientation val="minMax"/>
          <c:max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6064"/>
        <c:crosses val="autoZero"/>
        <c:crossBetween val="midCat"/>
      </c:valAx>
      <c:valAx>
        <c:axId val="124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4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590117</xdr:colOff>
      <xdr:row>6</xdr:row>
      <xdr:rowOff>36246</xdr:rowOff>
    </xdr:from>
    <xdr:to>
      <xdr:col>23</xdr:col>
      <xdr:colOff>504392</xdr:colOff>
      <xdr:row>37</xdr:row>
      <xdr:rowOff>109516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B201C-61B9-4861-81E8-CC02122CE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6</xdr:row>
      <xdr:rowOff>10037</xdr:rowOff>
    </xdr:from>
    <xdr:to>
      <xdr:col>31</xdr:col>
      <xdr:colOff>523875</xdr:colOff>
      <xdr:row>37</xdr:row>
      <xdr:rowOff>83307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3AAB5C-46DF-4D29-BC4E-3C2324B7E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581025</xdr:colOff>
      <xdr:row>6</xdr:row>
      <xdr:rowOff>38100</xdr:rowOff>
    </xdr:from>
    <xdr:to>
      <xdr:col>39</xdr:col>
      <xdr:colOff>495300</xdr:colOff>
      <xdr:row>37</xdr:row>
      <xdr:rowOff>111370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26D035-17AD-4573-AD92-49D22A6C4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571500</xdr:colOff>
      <xdr:row>6</xdr:row>
      <xdr:rowOff>44824</xdr:rowOff>
    </xdr:from>
    <xdr:to>
      <xdr:col>47</xdr:col>
      <xdr:colOff>485776</xdr:colOff>
      <xdr:row>37</xdr:row>
      <xdr:rowOff>118094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C7E2BD-5F1F-43DA-8E03-5A4926812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383533</xdr:colOff>
      <xdr:row>39</xdr:row>
      <xdr:rowOff>9354</xdr:rowOff>
    </xdr:from>
    <xdr:to>
      <xdr:col>22</xdr:col>
      <xdr:colOff>271279</xdr:colOff>
      <xdr:row>62</xdr:row>
      <xdr:rowOff>182882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5DCEF1-D620-4DC5-87B7-1C188A51A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93545</xdr:colOff>
      <xdr:row>39</xdr:row>
      <xdr:rowOff>159025</xdr:rowOff>
    </xdr:from>
    <xdr:to>
      <xdr:col>28</xdr:col>
      <xdr:colOff>636105</xdr:colOff>
      <xdr:row>63</xdr:row>
      <xdr:rowOff>145463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09E45D-3115-4397-B36A-4BF0DE594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392888</xdr:colOff>
      <xdr:row>7</xdr:row>
      <xdr:rowOff>159710</xdr:rowOff>
    </xdr:from>
    <xdr:to>
      <xdr:col>12</xdr:col>
      <xdr:colOff>261949</xdr:colOff>
      <xdr:row>39</xdr:row>
      <xdr:rowOff>45890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909452-001E-7271-3AB3-C1B7FBA16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458369</xdr:colOff>
      <xdr:row>40</xdr:row>
      <xdr:rowOff>159710</xdr:rowOff>
    </xdr:from>
    <xdr:to>
      <xdr:col>11</xdr:col>
      <xdr:colOff>327431</xdr:colOff>
      <xdr:row>72</xdr:row>
      <xdr:rowOff>45889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76646B-2757-E3E1-DAD3-28069BEEF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298175</xdr:colOff>
      <xdr:row>5</xdr:row>
      <xdr:rowOff>23853</xdr:rowOff>
    </xdr:from>
    <xdr:to>
      <xdr:col>14</xdr:col>
      <xdr:colOff>417444</xdr:colOff>
      <xdr:row>19</xdr:row>
      <xdr:rowOff>95415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CBC2B-C38B-A7FF-B950-B1D42A95E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305039</xdr:colOff>
      <xdr:row>2</xdr:row>
      <xdr:rowOff>182879</xdr:rowOff>
    </xdr:from>
    <xdr:to>
      <xdr:col>42</xdr:col>
      <xdr:colOff>305042</xdr:colOff>
      <xdr:row>22</xdr:row>
      <xdr:rowOff>71561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50095-76CA-78F0-9B72-B6EA54612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232754</xdr:colOff>
      <xdr:row>46</xdr:row>
      <xdr:rowOff>9396</xdr:rowOff>
    </xdr:from>
    <xdr:to>
      <xdr:col>42</xdr:col>
      <xdr:colOff>232757</xdr:colOff>
      <xdr:row>65</xdr:row>
      <xdr:rowOff>86017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9F0FA6-76C3-A87C-7458-C774DF526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203840</xdr:colOff>
      <xdr:row>66</xdr:row>
      <xdr:rowOff>81681</xdr:rowOff>
    </xdr:from>
    <xdr:to>
      <xdr:col>42</xdr:col>
      <xdr:colOff>203843</xdr:colOff>
      <xdr:row>85</xdr:row>
      <xdr:rowOff>158303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1F4822-BF99-5C26-E01C-C7F4C7379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305038</xdr:colOff>
      <xdr:row>88</xdr:row>
      <xdr:rowOff>153966</xdr:rowOff>
    </xdr:from>
    <xdr:to>
      <xdr:col>42</xdr:col>
      <xdr:colOff>305041</xdr:colOff>
      <xdr:row>108</xdr:row>
      <xdr:rowOff>42648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AE6A6A-5649-1A48-DC05-9D65302F1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449608</xdr:colOff>
      <xdr:row>23</xdr:row>
      <xdr:rowOff>125052</xdr:rowOff>
    </xdr:from>
    <xdr:to>
      <xdr:col>54</xdr:col>
      <xdr:colOff>449609</xdr:colOff>
      <xdr:row>43</xdr:row>
      <xdr:rowOff>13734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CEF152-D323-9DB6-3956-F90FD7730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218298</xdr:colOff>
      <xdr:row>46</xdr:row>
      <xdr:rowOff>125052</xdr:rowOff>
    </xdr:from>
    <xdr:to>
      <xdr:col>53</xdr:col>
      <xdr:colOff>218300</xdr:colOff>
      <xdr:row>66</xdr:row>
      <xdr:rowOff>13733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BD9567-49F8-79F1-23C5-31B68A83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565264</xdr:colOff>
      <xdr:row>67</xdr:row>
      <xdr:rowOff>182879</xdr:rowOff>
    </xdr:from>
    <xdr:to>
      <xdr:col>52</xdr:col>
      <xdr:colOff>565266</xdr:colOff>
      <xdr:row>87</xdr:row>
      <xdr:rowOff>71561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212F70-0F13-FF4E-6A2D-3C4BD580C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565264</xdr:colOff>
      <xdr:row>89</xdr:row>
      <xdr:rowOff>9396</xdr:rowOff>
    </xdr:from>
    <xdr:to>
      <xdr:col>52</xdr:col>
      <xdr:colOff>565266</xdr:colOff>
      <xdr:row>108</xdr:row>
      <xdr:rowOff>86018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419D56A-913D-EBB7-069C-2C95C16BF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549775</xdr:colOff>
      <xdr:row>24</xdr:row>
      <xdr:rowOff>12494</xdr:rowOff>
    </xdr:from>
    <xdr:to>
      <xdr:col>43</xdr:col>
      <xdr:colOff>549779</xdr:colOff>
      <xdr:row>43</xdr:row>
      <xdr:rowOff>89117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B97C3D-44B3-1DE9-7956-0D4416109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42</xdr:col>
      <xdr:colOff>608634</xdr:colOff>
      <xdr:row>2</xdr:row>
      <xdr:rowOff>153966</xdr:rowOff>
    </xdr:from>
    <xdr:to>
      <xdr:col>52</xdr:col>
      <xdr:colOff>608636</xdr:colOff>
      <xdr:row>22</xdr:row>
      <xdr:rowOff>42648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7091BDF-98F6-748C-42FB-4F9427EB7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305038</xdr:colOff>
      <xdr:row>109</xdr:row>
      <xdr:rowOff>9398</xdr:rowOff>
    </xdr:from>
    <xdr:to>
      <xdr:col>42</xdr:col>
      <xdr:colOff>305041</xdr:colOff>
      <xdr:row>128</xdr:row>
      <xdr:rowOff>86020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255068-31DE-6601-B79C-4958FED72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ulticonsult (Excel)">
  <a:themeElements>
    <a:clrScheme name="Multiconsult (Excel)">
      <a:dk1>
        <a:srgbClr val="1E1E1E"/>
      </a:dk1>
      <a:lt1>
        <a:sysClr val="window" lastClr="FFFFFF"/>
      </a:lt1>
      <a:dk2>
        <a:srgbClr val="EA8C27"/>
      </a:dk2>
      <a:lt2>
        <a:srgbClr val="E8E4E2"/>
      </a:lt2>
      <a:accent1>
        <a:srgbClr val="8EB1CA"/>
      </a:accent1>
      <a:accent2>
        <a:srgbClr val="82B589"/>
      </a:accent2>
      <a:accent3>
        <a:srgbClr val="B14F2F"/>
      </a:accent3>
      <a:accent4>
        <a:srgbClr val="FFC000"/>
      </a:accent4>
      <a:accent5>
        <a:srgbClr val="60ADFA"/>
      </a:accent5>
      <a:accent6>
        <a:srgbClr val="F46464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FD5A-508D-48E1-BFF7-666229038987}">
  <sheetPr>
    <tabColor theme="7" tint="0.79998168889431442"/>
  </sheetPr>
  <dimension ref="A1:BJ291"/>
  <sheetViews>
    <sheetView tabSelected="1" zoomScale="85" zoomScaleNormal="85" workbookViewId="0">
      <selection activeCell="P56" sqref="P56"/>
    </sheetView>
  </sheetViews>
  <sheetFormatPr defaultColWidth="9.109375" defaultRowHeight="15.05" x14ac:dyDescent="0.3"/>
  <cols>
    <col min="1" max="1" width="9.109375" style="3"/>
    <col min="2" max="2" width="16.109375" style="2" customWidth="1"/>
    <col min="3" max="16384" width="9.109375" style="2"/>
  </cols>
  <sheetData>
    <row r="1" spans="1:21" x14ac:dyDescent="0.3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21" ht="15.05" customHeight="1" x14ac:dyDescent="0.3">
      <c r="A2" s="3" t="s">
        <v>0</v>
      </c>
      <c r="B2" s="4" t="s">
        <v>32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/>
      <c r="N2" s="4" t="s">
        <v>11</v>
      </c>
      <c r="O2" s="2" t="s">
        <v>12</v>
      </c>
    </row>
    <row r="3" spans="1:21" x14ac:dyDescent="0.3">
      <c r="B3" s="2" t="s">
        <v>33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19</v>
      </c>
      <c r="L3" s="2" t="s">
        <v>20</v>
      </c>
      <c r="N3" s="2" t="s">
        <v>21</v>
      </c>
      <c r="S3" s="5" t="s">
        <v>22</v>
      </c>
      <c r="T3" s="6" cm="1">
        <f t="array" ref="T3">MAX(ABS(H4:H127))</f>
        <v>4085</v>
      </c>
    </row>
    <row r="4" spans="1:21" x14ac:dyDescent="0.3">
      <c r="A4" s="3">
        <v>1</v>
      </c>
      <c r="B4" s="2" t="s">
        <v>34</v>
      </c>
      <c r="C4" s="2" t="s">
        <v>23</v>
      </c>
      <c r="D4" s="2" t="s">
        <v>24</v>
      </c>
      <c r="E4" s="2">
        <v>1.24</v>
      </c>
      <c r="F4" s="2">
        <v>-3014</v>
      </c>
      <c r="G4" s="2">
        <v>-2645</v>
      </c>
      <c r="H4" s="2">
        <v>-4010</v>
      </c>
      <c r="I4" s="2">
        <v>-176200</v>
      </c>
      <c r="J4" s="2">
        <v>448.9</v>
      </c>
      <c r="K4" s="2">
        <v>-513.9</v>
      </c>
      <c r="L4" s="2">
        <v>-682.4</v>
      </c>
      <c r="N4" s="2">
        <v>200</v>
      </c>
      <c r="O4" s="2">
        <v>0.496</v>
      </c>
      <c r="S4" s="5" t="s">
        <v>25</v>
      </c>
      <c r="T4" s="6" cm="1">
        <f t="array" ref="T4">MAX(ABS(L4:L127))</f>
        <v>711.9</v>
      </c>
      <c r="U4" s="2">
        <f>MIN(L4:L127)</f>
        <v>-687.6</v>
      </c>
    </row>
    <row r="5" spans="1:21" x14ac:dyDescent="0.3">
      <c r="A5" s="3">
        <v>1</v>
      </c>
      <c r="B5" s="2" t="s">
        <v>34</v>
      </c>
      <c r="C5" s="2" t="s">
        <v>23</v>
      </c>
      <c r="D5" s="2" t="s">
        <v>24</v>
      </c>
      <c r="E5" s="2">
        <v>0.83</v>
      </c>
      <c r="F5" s="2">
        <v>-2805</v>
      </c>
      <c r="G5" s="2">
        <v>-2463</v>
      </c>
      <c r="H5" s="2">
        <v>-3733</v>
      </c>
      <c r="I5" s="2">
        <v>-164100</v>
      </c>
      <c r="J5" s="2">
        <v>448.9</v>
      </c>
      <c r="K5" s="2">
        <v>-513.9</v>
      </c>
      <c r="L5" s="2">
        <v>-682.4</v>
      </c>
      <c r="M5" s="2">
        <f>(L4-L5)/ABS(E5-E4)</f>
        <v>0</v>
      </c>
      <c r="N5" s="2">
        <v>197</v>
      </c>
      <c r="O5" s="2">
        <v>0.46200000000000002</v>
      </c>
      <c r="S5" s="5" t="s">
        <v>26</v>
      </c>
      <c r="T5" s="6" cm="1">
        <f t="array" ref="T5">MAX(ABS(N4:N127))</f>
        <v>1750</v>
      </c>
    </row>
    <row r="6" spans="1:21" x14ac:dyDescent="0.3">
      <c r="A6" s="3">
        <v>1</v>
      </c>
      <c r="B6" s="2" t="s">
        <v>34</v>
      </c>
      <c r="C6" s="2" t="s">
        <v>23</v>
      </c>
      <c r="D6" s="2" t="s">
        <v>24</v>
      </c>
      <c r="E6" s="2">
        <v>0.43</v>
      </c>
      <c r="F6" s="2">
        <v>-2597</v>
      </c>
      <c r="G6" s="2">
        <v>-2281</v>
      </c>
      <c r="H6" s="2">
        <v>-3456</v>
      </c>
      <c r="I6" s="2">
        <v>-152100</v>
      </c>
      <c r="J6" s="2">
        <v>448.9</v>
      </c>
      <c r="K6" s="2">
        <v>-513.9</v>
      </c>
      <c r="L6" s="2">
        <v>-682.4</v>
      </c>
      <c r="M6" s="2">
        <f t="shared" ref="M6:M34" si="0">(L5-L6)/ABS(E6-E5)</f>
        <v>0</v>
      </c>
      <c r="N6" s="2">
        <v>194</v>
      </c>
      <c r="O6" s="2">
        <v>0.42799999999999999</v>
      </c>
      <c r="S6" s="5" t="s">
        <v>27</v>
      </c>
      <c r="T6" s="6">
        <f>MAX(O4:O127)</f>
        <v>0.53600000000000003</v>
      </c>
    </row>
    <row r="7" spans="1:21" x14ac:dyDescent="0.3">
      <c r="A7" s="3">
        <v>1</v>
      </c>
      <c r="B7" s="2" t="s">
        <v>34</v>
      </c>
      <c r="C7" s="2" t="s">
        <v>23</v>
      </c>
      <c r="D7" s="2" t="s">
        <v>24</v>
      </c>
      <c r="E7" s="2">
        <v>0.02</v>
      </c>
      <c r="F7" s="2">
        <v>-2389</v>
      </c>
      <c r="G7" s="2">
        <v>-2100</v>
      </c>
      <c r="H7" s="2">
        <v>-3181</v>
      </c>
      <c r="I7" s="2">
        <v>-140100</v>
      </c>
      <c r="J7" s="2">
        <v>448.9</v>
      </c>
      <c r="K7" s="2">
        <v>-513.9</v>
      </c>
      <c r="L7" s="2">
        <v>-682.4</v>
      </c>
      <c r="M7" s="2">
        <f t="shared" si="0"/>
        <v>0</v>
      </c>
      <c r="N7" s="2">
        <v>191</v>
      </c>
      <c r="O7" s="2">
        <v>0.39500000000000002</v>
      </c>
    </row>
    <row r="8" spans="1:21" x14ac:dyDescent="0.3">
      <c r="A8" s="3">
        <v>1</v>
      </c>
      <c r="B8" s="2" t="s">
        <v>34</v>
      </c>
      <c r="C8" s="2" t="s">
        <v>23</v>
      </c>
      <c r="D8" s="2" t="s">
        <v>24</v>
      </c>
      <c r="E8" s="2">
        <v>-0.38</v>
      </c>
      <c r="F8" s="2">
        <v>-2181</v>
      </c>
      <c r="G8" s="2">
        <v>-1918</v>
      </c>
      <c r="H8" s="2">
        <v>-2904</v>
      </c>
      <c r="I8" s="2">
        <v>-128000</v>
      </c>
      <c r="J8" s="2">
        <v>448.9</v>
      </c>
      <c r="K8" s="2">
        <v>-513.9</v>
      </c>
      <c r="L8" s="2">
        <v>-682.4</v>
      </c>
      <c r="M8" s="2">
        <f t="shared" si="0"/>
        <v>0</v>
      </c>
      <c r="N8" s="2">
        <v>188</v>
      </c>
      <c r="O8" s="2">
        <v>0.36099999999999999</v>
      </c>
    </row>
    <row r="9" spans="1:21" x14ac:dyDescent="0.3">
      <c r="A9" s="3">
        <v>1</v>
      </c>
      <c r="B9" s="2" t="s">
        <v>34</v>
      </c>
      <c r="C9" s="2" t="s">
        <v>23</v>
      </c>
      <c r="D9" s="2" t="s">
        <v>24</v>
      </c>
      <c r="E9" s="2">
        <v>-0.79</v>
      </c>
      <c r="F9" s="2">
        <v>-1973</v>
      </c>
      <c r="G9" s="2">
        <v>-1736</v>
      </c>
      <c r="H9" s="2">
        <v>-2628</v>
      </c>
      <c r="I9" s="2">
        <v>-116000</v>
      </c>
      <c r="J9" s="2">
        <v>448.9</v>
      </c>
      <c r="K9" s="2">
        <v>-513.9</v>
      </c>
      <c r="L9" s="2">
        <v>-682.4</v>
      </c>
      <c r="M9" s="2">
        <f t="shared" si="0"/>
        <v>0</v>
      </c>
      <c r="N9" s="2">
        <v>185</v>
      </c>
      <c r="O9" s="2">
        <v>0.32700000000000001</v>
      </c>
    </row>
    <row r="10" spans="1:21" x14ac:dyDescent="0.3">
      <c r="A10" s="3">
        <v>1</v>
      </c>
      <c r="B10" s="2" t="s">
        <v>34</v>
      </c>
      <c r="C10" s="2" t="s">
        <v>23</v>
      </c>
      <c r="D10" s="2" t="s">
        <v>24</v>
      </c>
      <c r="E10" s="2">
        <v>-1.19</v>
      </c>
      <c r="F10" s="2">
        <v>-1766</v>
      </c>
      <c r="G10" s="2">
        <v>-1555</v>
      </c>
      <c r="H10" s="2">
        <v>-2353</v>
      </c>
      <c r="I10" s="2">
        <v>-104000</v>
      </c>
      <c r="J10" s="2">
        <v>448.9</v>
      </c>
      <c r="K10" s="2">
        <v>-513.9</v>
      </c>
      <c r="L10" s="2">
        <v>-682.4</v>
      </c>
      <c r="M10" s="2">
        <f t="shared" si="0"/>
        <v>0</v>
      </c>
      <c r="N10" s="2">
        <v>182</v>
      </c>
      <c r="O10" s="2">
        <v>0.29299999999999998</v>
      </c>
    </row>
    <row r="11" spans="1:21" x14ac:dyDescent="0.3">
      <c r="A11" s="3">
        <v>1</v>
      </c>
      <c r="B11" s="2" t="s">
        <v>34</v>
      </c>
      <c r="C11" s="2" t="s">
        <v>23</v>
      </c>
      <c r="D11" s="2" t="s">
        <v>24</v>
      </c>
      <c r="E11" s="2">
        <v>-1.6</v>
      </c>
      <c r="F11" s="2">
        <v>-1558</v>
      </c>
      <c r="G11" s="2">
        <v>-1373</v>
      </c>
      <c r="H11" s="2">
        <v>-2077</v>
      </c>
      <c r="I11" s="2">
        <v>-91930</v>
      </c>
      <c r="J11" s="2">
        <v>448.9</v>
      </c>
      <c r="K11" s="2">
        <v>-513.9</v>
      </c>
      <c r="L11" s="2">
        <v>-682.4</v>
      </c>
      <c r="M11" s="2">
        <f t="shared" si="0"/>
        <v>0</v>
      </c>
      <c r="N11" s="2">
        <v>179</v>
      </c>
      <c r="O11" s="2">
        <v>0.25900000000000001</v>
      </c>
    </row>
    <row r="12" spans="1:21" x14ac:dyDescent="0.3">
      <c r="A12" s="3">
        <v>1</v>
      </c>
      <c r="B12" s="2" t="s">
        <v>34</v>
      </c>
      <c r="C12" s="2" t="s">
        <v>23</v>
      </c>
      <c r="D12" s="2" t="s">
        <v>24</v>
      </c>
      <c r="E12" s="2">
        <v>-2</v>
      </c>
      <c r="F12" s="2">
        <v>-1350</v>
      </c>
      <c r="G12" s="2">
        <v>-1191</v>
      </c>
      <c r="H12" s="2">
        <v>-1800</v>
      </c>
      <c r="I12" s="2">
        <v>-79900</v>
      </c>
      <c r="J12" s="2">
        <v>448.9</v>
      </c>
      <c r="K12" s="2">
        <v>-513.9</v>
      </c>
      <c r="L12" s="2">
        <v>-682.4</v>
      </c>
      <c r="M12" s="2">
        <f t="shared" si="0"/>
        <v>0</v>
      </c>
      <c r="N12" s="2">
        <v>176</v>
      </c>
      <c r="O12" s="2">
        <v>0.22500000000000001</v>
      </c>
    </row>
    <row r="13" spans="1:21" x14ac:dyDescent="0.3">
      <c r="A13" s="3">
        <v>1</v>
      </c>
      <c r="B13" s="2" t="s">
        <v>34</v>
      </c>
      <c r="C13" s="2" t="s">
        <v>23</v>
      </c>
      <c r="D13" s="2" t="s">
        <v>24</v>
      </c>
      <c r="E13" s="2">
        <v>-2.35</v>
      </c>
      <c r="F13" s="2">
        <v>-1171</v>
      </c>
      <c r="G13" s="2">
        <v>-1035</v>
      </c>
      <c r="H13" s="2">
        <v>-1563</v>
      </c>
      <c r="I13" s="2">
        <v>-69530</v>
      </c>
      <c r="J13" s="2">
        <v>444.6</v>
      </c>
      <c r="K13" s="2">
        <v>-509</v>
      </c>
      <c r="L13" s="2">
        <v>-675.8</v>
      </c>
      <c r="M13" s="2">
        <f t="shared" si="0"/>
        <v>-18.857142857142918</v>
      </c>
      <c r="N13" s="2">
        <v>174</v>
      </c>
      <c r="O13" s="2">
        <v>0.19600000000000001</v>
      </c>
    </row>
    <row r="14" spans="1:21" x14ac:dyDescent="0.3">
      <c r="A14" s="3">
        <v>1</v>
      </c>
      <c r="B14" s="2" t="s">
        <v>34</v>
      </c>
      <c r="C14" s="2" t="s">
        <v>23</v>
      </c>
      <c r="D14" s="2" t="s">
        <v>24</v>
      </c>
      <c r="E14" s="2">
        <v>-2.7</v>
      </c>
      <c r="F14" s="2">
        <v>-995.3</v>
      </c>
      <c r="G14" s="2">
        <v>-881.6</v>
      </c>
      <c r="H14" s="2">
        <v>-1330</v>
      </c>
      <c r="I14" s="2">
        <v>-59370</v>
      </c>
      <c r="J14" s="2">
        <v>430.9</v>
      </c>
      <c r="K14" s="2">
        <v>-493.1</v>
      </c>
      <c r="L14" s="2">
        <v>-654.79999999999995</v>
      </c>
      <c r="M14" s="2">
        <f t="shared" si="0"/>
        <v>-59.999999999999986</v>
      </c>
      <c r="N14" s="2">
        <v>170</v>
      </c>
      <c r="O14" s="2">
        <v>0.16700000000000001</v>
      </c>
    </row>
    <row r="15" spans="1:21" x14ac:dyDescent="0.3">
      <c r="A15" s="3">
        <v>1</v>
      </c>
      <c r="B15" s="2" t="s">
        <v>34</v>
      </c>
      <c r="C15" s="2" t="s">
        <v>23</v>
      </c>
      <c r="D15" s="2" t="s">
        <v>24</v>
      </c>
      <c r="E15" s="2">
        <v>-2.97</v>
      </c>
      <c r="F15" s="2">
        <v>-864.5</v>
      </c>
      <c r="G15" s="2">
        <v>-767.3</v>
      </c>
      <c r="H15" s="2">
        <v>-1156</v>
      </c>
      <c r="I15" s="2">
        <v>-51790</v>
      </c>
      <c r="J15" s="2">
        <v>417.5</v>
      </c>
      <c r="K15" s="2">
        <v>-477.6</v>
      </c>
      <c r="L15" s="2">
        <v>-634.4</v>
      </c>
      <c r="M15" s="2">
        <f t="shared" si="0"/>
        <v>-75.555555555555472</v>
      </c>
      <c r="N15" s="2">
        <v>167</v>
      </c>
      <c r="O15" s="2">
        <v>0.14599999999999999</v>
      </c>
    </row>
    <row r="16" spans="1:21" x14ac:dyDescent="0.3">
      <c r="A16" s="3">
        <v>1</v>
      </c>
      <c r="B16" s="2" t="s">
        <v>34</v>
      </c>
      <c r="C16" s="2" t="s">
        <v>23</v>
      </c>
      <c r="D16" s="2" t="s">
        <v>24</v>
      </c>
      <c r="E16" s="2">
        <v>-3.24</v>
      </c>
      <c r="F16" s="2">
        <v>-737.7</v>
      </c>
      <c r="G16" s="2">
        <v>-656.4</v>
      </c>
      <c r="H16" s="2">
        <v>-987.5</v>
      </c>
      <c r="I16" s="2">
        <v>-44430</v>
      </c>
      <c r="J16" s="2">
        <v>404.5</v>
      </c>
      <c r="K16" s="2">
        <v>-462.6</v>
      </c>
      <c r="L16" s="2">
        <v>-614.5</v>
      </c>
      <c r="M16" s="2">
        <f t="shared" si="0"/>
        <v>-73.70370370370361</v>
      </c>
      <c r="N16" s="2">
        <v>164</v>
      </c>
      <c r="O16" s="2">
        <v>0.125</v>
      </c>
    </row>
    <row r="17" spans="1:15" x14ac:dyDescent="0.3">
      <c r="A17" s="3">
        <v>1</v>
      </c>
      <c r="B17" s="2" t="s">
        <v>34</v>
      </c>
      <c r="C17" s="2" t="s">
        <v>23</v>
      </c>
      <c r="D17" s="2" t="s">
        <v>24</v>
      </c>
      <c r="E17" s="2">
        <v>-3.59</v>
      </c>
      <c r="F17" s="2">
        <v>-579.79999999999995</v>
      </c>
      <c r="G17" s="2">
        <v>-518.29999999999995</v>
      </c>
      <c r="H17" s="2">
        <v>-777.7</v>
      </c>
      <c r="I17" s="2">
        <v>-35260</v>
      </c>
      <c r="J17" s="2">
        <v>385.5</v>
      </c>
      <c r="K17" s="2">
        <v>-440.7</v>
      </c>
      <c r="L17" s="2">
        <v>-585.5</v>
      </c>
      <c r="M17" s="2">
        <f t="shared" si="0"/>
        <v>-82.857142857142946</v>
      </c>
      <c r="N17" s="2">
        <v>159</v>
      </c>
      <c r="O17" s="2">
        <v>9.9000000000000005E-2</v>
      </c>
    </row>
    <row r="18" spans="1:15" x14ac:dyDescent="0.3">
      <c r="A18" s="3">
        <v>1</v>
      </c>
      <c r="B18" s="2" t="s">
        <v>34</v>
      </c>
      <c r="C18" s="2" t="s">
        <v>23</v>
      </c>
      <c r="D18" s="2" t="s">
        <v>24</v>
      </c>
      <c r="E18" s="2">
        <v>-3.94</v>
      </c>
      <c r="F18" s="2">
        <v>-430</v>
      </c>
      <c r="G18" s="2">
        <v>-387.3</v>
      </c>
      <c r="H18" s="2">
        <v>-578.70000000000005</v>
      </c>
      <c r="I18" s="2">
        <v>-26560</v>
      </c>
      <c r="J18" s="2">
        <v>364.1</v>
      </c>
      <c r="K18" s="2">
        <v>-416.1</v>
      </c>
      <c r="L18" s="2">
        <v>-552.9</v>
      </c>
      <c r="M18" s="2">
        <f t="shared" si="0"/>
        <v>-93.142857142857181</v>
      </c>
      <c r="N18" s="2">
        <v>154</v>
      </c>
      <c r="O18" s="2">
        <v>7.4999999999999997E-2</v>
      </c>
    </row>
    <row r="19" spans="1:15" x14ac:dyDescent="0.3">
      <c r="A19" s="3">
        <v>1</v>
      </c>
      <c r="B19" s="2" t="s">
        <v>34</v>
      </c>
      <c r="C19" s="2" t="s">
        <v>23</v>
      </c>
      <c r="D19" s="2" t="s">
        <v>24</v>
      </c>
      <c r="E19" s="2">
        <v>-4.29</v>
      </c>
      <c r="F19" s="2">
        <v>-288</v>
      </c>
      <c r="G19" s="2">
        <v>-263</v>
      </c>
      <c r="H19" s="2">
        <v>-390</v>
      </c>
      <c r="I19" s="2">
        <v>-18300</v>
      </c>
      <c r="J19" s="2">
        <v>340.2</v>
      </c>
      <c r="K19" s="2">
        <v>-388.5</v>
      </c>
      <c r="L19" s="2">
        <v>-516.4</v>
      </c>
      <c r="M19" s="2">
        <f t="shared" si="0"/>
        <v>-104.28571428571426</v>
      </c>
      <c r="N19" s="2">
        <v>148</v>
      </c>
      <c r="O19" s="2">
        <v>5.1999999999999998E-2</v>
      </c>
    </row>
    <row r="20" spans="1:15" x14ac:dyDescent="0.3">
      <c r="A20" s="3">
        <v>1</v>
      </c>
      <c r="B20" s="2" t="s">
        <v>34</v>
      </c>
      <c r="C20" s="2" t="s">
        <v>23</v>
      </c>
      <c r="D20" s="2" t="s">
        <v>24</v>
      </c>
      <c r="E20" s="2">
        <v>-4.6500000000000004</v>
      </c>
      <c r="F20" s="2">
        <v>-156.19999999999999</v>
      </c>
      <c r="G20" s="2">
        <v>-147.6</v>
      </c>
      <c r="H20" s="2">
        <v>-214.9</v>
      </c>
      <c r="I20" s="2">
        <v>-10640</v>
      </c>
      <c r="J20" s="2">
        <v>313.8</v>
      </c>
      <c r="K20" s="2">
        <v>-358.1</v>
      </c>
      <c r="L20" s="2">
        <v>-476.1</v>
      </c>
      <c r="M20" s="2">
        <f t="shared" si="0"/>
        <v>-111.94444444444422</v>
      </c>
      <c r="N20" s="2">
        <v>142</v>
      </c>
      <c r="O20" s="2">
        <v>0.03</v>
      </c>
    </row>
    <row r="21" spans="1:15" x14ac:dyDescent="0.3">
      <c r="A21" s="3">
        <v>1</v>
      </c>
      <c r="B21" s="2" t="s">
        <v>34</v>
      </c>
      <c r="C21" s="2" t="s">
        <v>23</v>
      </c>
      <c r="D21" s="2" t="s">
        <v>24</v>
      </c>
      <c r="E21" s="2">
        <v>-5</v>
      </c>
      <c r="F21" s="2">
        <v>-35.659999999999997</v>
      </c>
      <c r="G21" s="2">
        <v>-41.9</v>
      </c>
      <c r="H21" s="2">
        <v>-55.02</v>
      </c>
      <c r="I21" s="2">
        <v>-3628</v>
      </c>
      <c r="J21" s="2">
        <v>285</v>
      </c>
      <c r="K21" s="2">
        <v>-325</v>
      </c>
      <c r="L21" s="2">
        <v>-432.3</v>
      </c>
      <c r="M21" s="2">
        <f t="shared" si="0"/>
        <v>-125.14285714285731</v>
      </c>
      <c r="N21" s="2">
        <v>136</v>
      </c>
      <c r="O21" s="2">
        <v>0.01</v>
      </c>
    </row>
    <row r="22" spans="1:15" x14ac:dyDescent="0.3">
      <c r="A22" s="3">
        <v>1</v>
      </c>
      <c r="B22" s="2" t="s">
        <v>34</v>
      </c>
      <c r="C22" s="2" t="s">
        <v>23</v>
      </c>
      <c r="D22" s="2" t="s">
        <v>24</v>
      </c>
      <c r="E22" s="2">
        <v>-5.41</v>
      </c>
      <c r="F22" s="2">
        <v>90.22</v>
      </c>
      <c r="G22" s="2">
        <v>68.569999999999993</v>
      </c>
      <c r="H22" s="2">
        <v>113.3</v>
      </c>
      <c r="I22" s="2">
        <v>-6108</v>
      </c>
      <c r="J22" s="2">
        <v>250.8</v>
      </c>
      <c r="K22" s="2">
        <v>-285.60000000000002</v>
      </c>
      <c r="L22" s="2">
        <v>-380.1</v>
      </c>
      <c r="M22" s="2">
        <f t="shared" si="0"/>
        <v>-127.31707317073163</v>
      </c>
      <c r="N22" s="2">
        <v>128</v>
      </c>
      <c r="O22" s="2">
        <v>1.7000000000000001E-2</v>
      </c>
    </row>
    <row r="23" spans="1:15" x14ac:dyDescent="0.3">
      <c r="A23" s="3">
        <v>1</v>
      </c>
      <c r="B23" s="2" t="s">
        <v>34</v>
      </c>
      <c r="C23" s="2" t="s">
        <v>23</v>
      </c>
      <c r="D23" s="2" t="s">
        <v>24</v>
      </c>
      <c r="E23" s="2">
        <v>-5.83</v>
      </c>
      <c r="F23" s="2">
        <v>200.3</v>
      </c>
      <c r="G23" s="2">
        <v>165.3</v>
      </c>
      <c r="H23" s="2">
        <v>259.7</v>
      </c>
      <c r="I23" s="2">
        <v>-12400</v>
      </c>
      <c r="J23" s="2">
        <v>218.7</v>
      </c>
      <c r="K23" s="2">
        <v>-248.6</v>
      </c>
      <c r="L23" s="2">
        <v>-331.1</v>
      </c>
      <c r="M23" s="2">
        <f t="shared" si="0"/>
        <v>-116.66666666666669</v>
      </c>
      <c r="N23" s="2">
        <v>120</v>
      </c>
      <c r="O23" s="2">
        <v>3.5000000000000003E-2</v>
      </c>
    </row>
    <row r="24" spans="1:15" x14ac:dyDescent="0.3">
      <c r="A24" s="3">
        <v>1</v>
      </c>
      <c r="B24" s="2" t="s">
        <v>34</v>
      </c>
      <c r="C24" s="2" t="s">
        <v>23</v>
      </c>
      <c r="D24" s="2" t="s">
        <v>24</v>
      </c>
      <c r="E24" s="2">
        <v>-6.24</v>
      </c>
      <c r="F24" s="2">
        <v>295.7</v>
      </c>
      <c r="G24" s="2">
        <v>249.3</v>
      </c>
      <c r="H24" s="2">
        <v>386.8</v>
      </c>
      <c r="I24" s="2">
        <v>-17860</v>
      </c>
      <c r="J24" s="2">
        <v>189.2</v>
      </c>
      <c r="K24" s="2">
        <v>-214.7</v>
      </c>
      <c r="L24" s="2">
        <v>-286.2</v>
      </c>
      <c r="M24" s="2">
        <f t="shared" si="0"/>
        <v>-109.51219512195127</v>
      </c>
      <c r="N24" s="2">
        <v>112</v>
      </c>
      <c r="O24" s="2">
        <v>0.05</v>
      </c>
    </row>
    <row r="25" spans="1:15" x14ac:dyDescent="0.3">
      <c r="A25" s="3">
        <v>1</v>
      </c>
      <c r="B25" s="2" t="s">
        <v>34</v>
      </c>
      <c r="C25" s="2" t="s">
        <v>23</v>
      </c>
      <c r="D25" s="2" t="s">
        <v>24</v>
      </c>
      <c r="E25" s="2">
        <v>-6.68</v>
      </c>
      <c r="F25" s="2">
        <v>382.7</v>
      </c>
      <c r="G25" s="2">
        <v>326.10000000000002</v>
      </c>
      <c r="H25" s="2">
        <v>502.8</v>
      </c>
      <c r="I25" s="2">
        <v>-22820</v>
      </c>
      <c r="J25" s="2">
        <v>161</v>
      </c>
      <c r="K25" s="2">
        <v>-182.3</v>
      </c>
      <c r="L25" s="2">
        <v>-243.2</v>
      </c>
      <c r="M25" s="2">
        <f t="shared" si="0"/>
        <v>-97.727272727272833</v>
      </c>
      <c r="N25" s="2">
        <v>104</v>
      </c>
      <c r="O25" s="2">
        <v>6.4000000000000001E-2</v>
      </c>
    </row>
    <row r="26" spans="1:15" x14ac:dyDescent="0.3">
      <c r="A26" s="3">
        <v>1</v>
      </c>
      <c r="B26" s="2" t="s">
        <v>34</v>
      </c>
      <c r="C26" s="2" t="s">
        <v>23</v>
      </c>
      <c r="D26" s="2" t="s">
        <v>24</v>
      </c>
      <c r="E26" s="2">
        <v>-7.12</v>
      </c>
      <c r="F26" s="2">
        <v>456.4</v>
      </c>
      <c r="G26" s="2">
        <v>391.2</v>
      </c>
      <c r="H26" s="2">
        <v>601.1</v>
      </c>
      <c r="I26" s="2">
        <v>-27020</v>
      </c>
      <c r="J26" s="2">
        <v>136.6</v>
      </c>
      <c r="K26" s="2">
        <v>-154.19999999999999</v>
      </c>
      <c r="L26" s="2">
        <v>-206</v>
      </c>
      <c r="M26" s="2">
        <f t="shared" si="0"/>
        <v>-84.545454545454447</v>
      </c>
      <c r="N26" s="2">
        <v>95</v>
      </c>
      <c r="O26" s="2">
        <v>7.5999999999999998E-2</v>
      </c>
    </row>
    <row r="27" spans="1:15" x14ac:dyDescent="0.3">
      <c r="A27" s="3">
        <v>1</v>
      </c>
      <c r="B27" s="2" t="s">
        <v>34</v>
      </c>
      <c r="C27" s="2" t="s">
        <v>23</v>
      </c>
      <c r="D27" s="2" t="s">
        <v>24</v>
      </c>
      <c r="E27" s="2">
        <v>-7.56</v>
      </c>
      <c r="F27" s="2">
        <v>518.70000000000005</v>
      </c>
      <c r="G27" s="2">
        <v>446.6</v>
      </c>
      <c r="H27" s="2">
        <v>684.5</v>
      </c>
      <c r="I27" s="2">
        <v>-30560</v>
      </c>
      <c r="J27" s="2">
        <v>116.3</v>
      </c>
      <c r="K27" s="2">
        <v>-130.80000000000001</v>
      </c>
      <c r="L27" s="2">
        <v>-175</v>
      </c>
      <c r="M27" s="2">
        <f t="shared" si="0"/>
        <v>-70.454545454545539</v>
      </c>
      <c r="N27" s="2">
        <v>86.1</v>
      </c>
      <c r="O27" s="2">
        <v>8.5999999999999993E-2</v>
      </c>
    </row>
    <row r="28" spans="1:15" x14ac:dyDescent="0.3">
      <c r="A28" s="3">
        <v>1</v>
      </c>
      <c r="B28" s="2" t="s">
        <v>34</v>
      </c>
      <c r="C28" s="2" t="s">
        <v>23</v>
      </c>
      <c r="D28" s="2" t="s">
        <v>24</v>
      </c>
      <c r="E28" s="2">
        <v>-8</v>
      </c>
      <c r="F28" s="2">
        <v>571.9</v>
      </c>
      <c r="G28" s="2">
        <v>493.9</v>
      </c>
      <c r="H28" s="2">
        <v>755.6</v>
      </c>
      <c r="I28" s="2">
        <v>-33570</v>
      </c>
      <c r="J28" s="2">
        <v>100.3</v>
      </c>
      <c r="K28" s="2">
        <v>-112.5</v>
      </c>
      <c r="L28" s="2">
        <v>-150.69999999999999</v>
      </c>
      <c r="M28" s="2">
        <f t="shared" si="0"/>
        <v>-55.227272727272705</v>
      </c>
      <c r="N28" s="2">
        <v>77.099999999999994</v>
      </c>
      <c r="O28" s="2">
        <v>9.5000000000000001E-2</v>
      </c>
    </row>
    <row r="29" spans="1:15" x14ac:dyDescent="0.3">
      <c r="A29" s="3">
        <v>1</v>
      </c>
      <c r="B29" s="2" t="s">
        <v>34</v>
      </c>
      <c r="C29" s="2" t="s">
        <v>23</v>
      </c>
      <c r="D29" s="2" t="s">
        <v>24</v>
      </c>
      <c r="E29" s="2">
        <v>-8.41</v>
      </c>
      <c r="F29" s="2">
        <v>586.4</v>
      </c>
      <c r="G29" s="2">
        <v>507.6</v>
      </c>
      <c r="H29" s="2">
        <v>775.6</v>
      </c>
      <c r="I29" s="2">
        <v>-34320</v>
      </c>
      <c r="J29" s="2">
        <v>-94.61</v>
      </c>
      <c r="K29" s="2">
        <v>111.6</v>
      </c>
      <c r="L29" s="2">
        <v>146.30000000000001</v>
      </c>
      <c r="M29" s="2">
        <f t="shared" si="0"/>
        <v>-724.39024390243878</v>
      </c>
      <c r="N29" s="2">
        <v>65.099999999999994</v>
      </c>
      <c r="O29" s="2">
        <v>9.7000000000000003E-2</v>
      </c>
    </row>
    <row r="30" spans="1:15" x14ac:dyDescent="0.3">
      <c r="A30" s="3">
        <v>1</v>
      </c>
      <c r="B30" s="2" t="s">
        <v>34</v>
      </c>
      <c r="C30" s="2" t="s">
        <v>23</v>
      </c>
      <c r="D30" s="2" t="s">
        <v>24</v>
      </c>
      <c r="E30" s="2">
        <v>-8.83</v>
      </c>
      <c r="F30" s="2">
        <v>465.9</v>
      </c>
      <c r="G30" s="2">
        <v>403.7</v>
      </c>
      <c r="H30" s="2">
        <v>616.5</v>
      </c>
      <c r="I30" s="2">
        <v>-27260</v>
      </c>
      <c r="J30" s="2">
        <v>-375.3</v>
      </c>
      <c r="K30" s="2">
        <v>434</v>
      </c>
      <c r="L30" s="2">
        <v>573.79999999999995</v>
      </c>
      <c r="M30" s="2">
        <f t="shared" si="0"/>
        <v>-1017.8571428571429</v>
      </c>
      <c r="N30" s="2">
        <v>49.2</v>
      </c>
      <c r="O30" s="2">
        <v>7.6999999999999999E-2</v>
      </c>
    </row>
    <row r="31" spans="1:15" x14ac:dyDescent="0.3">
      <c r="A31" s="3">
        <v>1</v>
      </c>
      <c r="B31" s="2" t="s">
        <v>34</v>
      </c>
      <c r="C31" s="2" t="s">
        <v>23</v>
      </c>
      <c r="D31" s="2" t="s">
        <v>24</v>
      </c>
      <c r="E31" s="2">
        <v>-9.24</v>
      </c>
      <c r="F31" s="2">
        <v>259.5</v>
      </c>
      <c r="G31" s="2">
        <v>225.1</v>
      </c>
      <c r="H31" s="2">
        <v>343.5</v>
      </c>
      <c r="I31" s="2">
        <v>-15240</v>
      </c>
      <c r="J31" s="2">
        <v>-453.7</v>
      </c>
      <c r="K31" s="2">
        <v>523.5</v>
      </c>
      <c r="L31" s="2">
        <v>692.7</v>
      </c>
      <c r="M31" s="2">
        <f t="shared" si="0"/>
        <v>-290.00000000000011</v>
      </c>
      <c r="N31" s="2">
        <v>32.6</v>
      </c>
      <c r="O31" s="2">
        <v>4.2999999999999997E-2</v>
      </c>
    </row>
    <row r="32" spans="1:15" x14ac:dyDescent="0.3">
      <c r="A32" s="3">
        <v>1</v>
      </c>
      <c r="B32" s="2" t="s">
        <v>34</v>
      </c>
      <c r="C32" s="2" t="s">
        <v>23</v>
      </c>
      <c r="D32" s="2" t="s">
        <v>24</v>
      </c>
      <c r="E32" s="2">
        <v>-9.5</v>
      </c>
      <c r="F32" s="2">
        <v>130.6</v>
      </c>
      <c r="G32" s="2">
        <v>113.3</v>
      </c>
      <c r="H32" s="2">
        <v>172.9</v>
      </c>
      <c r="I32" s="2">
        <v>-7716</v>
      </c>
      <c r="J32" s="2">
        <v>-390.9</v>
      </c>
      <c r="K32" s="2">
        <v>450.8</v>
      </c>
      <c r="L32" s="2">
        <v>596.70000000000005</v>
      </c>
      <c r="M32" s="2">
        <f t="shared" si="0"/>
        <v>369.23076923076951</v>
      </c>
      <c r="N32" s="2">
        <v>21.8</v>
      </c>
      <c r="O32" s="2">
        <v>2.1999999999999999E-2</v>
      </c>
    </row>
    <row r="33" spans="1:62" x14ac:dyDescent="0.3">
      <c r="A33" s="3">
        <v>1</v>
      </c>
      <c r="B33" s="2" t="s">
        <v>34</v>
      </c>
      <c r="C33" s="2" t="s">
        <v>23</v>
      </c>
      <c r="D33" s="2" t="s">
        <v>24</v>
      </c>
      <c r="E33" s="2">
        <v>-9.75</v>
      </c>
      <c r="F33" s="2">
        <v>37.18</v>
      </c>
      <c r="G33" s="2">
        <v>32.26</v>
      </c>
      <c r="H33" s="2">
        <v>49.22</v>
      </c>
      <c r="I33" s="2">
        <v>-2242</v>
      </c>
      <c r="J33" s="2">
        <v>-242</v>
      </c>
      <c r="K33" s="2">
        <v>279</v>
      </c>
      <c r="L33" s="2">
        <v>369.3</v>
      </c>
      <c r="M33" s="2">
        <f t="shared" si="0"/>
        <v>909.60000000000014</v>
      </c>
      <c r="N33" s="2">
        <v>11</v>
      </c>
      <c r="O33" s="2">
        <v>6.0000000000000001E-3</v>
      </c>
    </row>
    <row r="34" spans="1:62" x14ac:dyDescent="0.3">
      <c r="A34" s="3">
        <v>1</v>
      </c>
      <c r="B34" s="2" t="s">
        <v>34</v>
      </c>
      <c r="C34" s="2" t="s">
        <v>23</v>
      </c>
      <c r="D34" s="2" t="s">
        <v>24</v>
      </c>
      <c r="E34" s="2">
        <v>-10</v>
      </c>
      <c r="F34" s="2">
        <v>5.0590000000000001E-3</v>
      </c>
      <c r="G34" s="2">
        <v>4.3959999999999997E-3</v>
      </c>
      <c r="H34" s="2">
        <v>6.7019999999999996E-3</v>
      </c>
      <c r="I34" s="2">
        <v>0.29139999999999999</v>
      </c>
      <c r="J34" s="2">
        <v>0</v>
      </c>
      <c r="K34" s="2">
        <v>0</v>
      </c>
      <c r="L34" s="2">
        <v>0</v>
      </c>
      <c r="M34" s="2">
        <f t="shared" si="0"/>
        <v>1477.2</v>
      </c>
      <c r="N34" s="2">
        <v>0</v>
      </c>
      <c r="O34" s="2">
        <v>0</v>
      </c>
    </row>
    <row r="35" spans="1:62" x14ac:dyDescent="0.3">
      <c r="A35" s="3">
        <v>2</v>
      </c>
      <c r="B35" s="2" t="s">
        <v>34</v>
      </c>
      <c r="C35" s="2" t="s">
        <v>23</v>
      </c>
      <c r="D35" s="2" t="s">
        <v>28</v>
      </c>
      <c r="E35" s="2">
        <v>1.24</v>
      </c>
      <c r="F35" s="2">
        <v>-3121</v>
      </c>
      <c r="G35" s="2">
        <v>-2635</v>
      </c>
      <c r="H35" s="2">
        <v>-4085</v>
      </c>
      <c r="I35" s="2">
        <v>188100</v>
      </c>
      <c r="J35" s="2">
        <v>442.6</v>
      </c>
      <c r="K35" s="2">
        <v>-526.20000000000005</v>
      </c>
      <c r="L35" s="2">
        <v>-687.6</v>
      </c>
      <c r="N35" s="2">
        <v>-1150</v>
      </c>
      <c r="O35" s="2">
        <v>0.53</v>
      </c>
    </row>
    <row r="36" spans="1:62" x14ac:dyDescent="0.3">
      <c r="A36" s="3">
        <v>2</v>
      </c>
      <c r="B36" s="2" t="s">
        <v>34</v>
      </c>
      <c r="C36" s="2" t="s">
        <v>23</v>
      </c>
      <c r="D36" s="2" t="s">
        <v>28</v>
      </c>
      <c r="E36" s="2">
        <v>0.83</v>
      </c>
      <c r="F36" s="2">
        <v>-2908</v>
      </c>
      <c r="G36" s="2">
        <v>-2455</v>
      </c>
      <c r="H36" s="2">
        <v>-3806</v>
      </c>
      <c r="I36" s="2">
        <v>176100</v>
      </c>
      <c r="J36" s="2">
        <v>442.6</v>
      </c>
      <c r="K36" s="2">
        <v>-526.20000000000005</v>
      </c>
      <c r="L36" s="2">
        <v>-687.6</v>
      </c>
      <c r="M36" s="2">
        <f>(L35-L36)/ABS(E36-E35)</f>
        <v>0</v>
      </c>
      <c r="N36" s="2">
        <v>-1160</v>
      </c>
      <c r="O36" s="2">
        <v>0.496</v>
      </c>
    </row>
    <row r="37" spans="1:62" x14ac:dyDescent="0.3">
      <c r="A37" s="3">
        <v>2</v>
      </c>
      <c r="B37" s="2" t="s">
        <v>34</v>
      </c>
      <c r="C37" s="2" t="s">
        <v>23</v>
      </c>
      <c r="D37" s="2" t="s">
        <v>28</v>
      </c>
      <c r="E37" s="2">
        <v>0.43</v>
      </c>
      <c r="F37" s="2">
        <v>-2694</v>
      </c>
      <c r="G37" s="2">
        <v>-2276</v>
      </c>
      <c r="H37" s="2">
        <v>-3527</v>
      </c>
      <c r="I37" s="2">
        <v>164000</v>
      </c>
      <c r="J37" s="2">
        <v>442.6</v>
      </c>
      <c r="K37" s="2">
        <v>-526.20000000000005</v>
      </c>
      <c r="L37" s="2">
        <v>-687.6</v>
      </c>
      <c r="M37" s="2">
        <f t="shared" ref="M37:M65" si="1">(L36-L37)/ABS(E37-E36)</f>
        <v>0</v>
      </c>
      <c r="N37" s="2">
        <v>-1160</v>
      </c>
      <c r="O37" s="2">
        <v>0.46200000000000002</v>
      </c>
    </row>
    <row r="38" spans="1:62" x14ac:dyDescent="0.3">
      <c r="A38" s="3">
        <v>2</v>
      </c>
      <c r="B38" s="2" t="s">
        <v>34</v>
      </c>
      <c r="C38" s="2" t="s">
        <v>23</v>
      </c>
      <c r="D38" s="2" t="s">
        <v>28</v>
      </c>
      <c r="E38" s="2">
        <v>0.02</v>
      </c>
      <c r="F38" s="2">
        <v>-2480</v>
      </c>
      <c r="G38" s="2">
        <v>-2096</v>
      </c>
      <c r="H38" s="2">
        <v>-3247</v>
      </c>
      <c r="I38" s="2">
        <v>151800</v>
      </c>
      <c r="J38" s="2">
        <v>442.6</v>
      </c>
      <c r="K38" s="2">
        <v>-526.20000000000005</v>
      </c>
      <c r="L38" s="2">
        <v>-687.6</v>
      </c>
      <c r="M38" s="2">
        <f t="shared" si="1"/>
        <v>0</v>
      </c>
      <c r="N38" s="2">
        <v>-1160</v>
      </c>
      <c r="O38" s="2">
        <v>0.42799999999999999</v>
      </c>
    </row>
    <row r="39" spans="1:62" x14ac:dyDescent="0.3">
      <c r="A39" s="3">
        <v>2</v>
      </c>
      <c r="B39" s="2" t="s">
        <v>34</v>
      </c>
      <c r="C39" s="2" t="s">
        <v>23</v>
      </c>
      <c r="D39" s="2" t="s">
        <v>28</v>
      </c>
      <c r="E39" s="2">
        <v>-0.38</v>
      </c>
      <c r="F39" s="2">
        <v>-2266</v>
      </c>
      <c r="G39" s="2">
        <v>-1916</v>
      </c>
      <c r="H39" s="2">
        <v>-2967</v>
      </c>
      <c r="I39" s="2">
        <v>139700</v>
      </c>
      <c r="J39" s="2">
        <v>442.6</v>
      </c>
      <c r="K39" s="2">
        <v>-526.20000000000005</v>
      </c>
      <c r="L39" s="2">
        <v>-687.6</v>
      </c>
      <c r="M39" s="2">
        <f t="shared" si="1"/>
        <v>0</v>
      </c>
      <c r="N39" s="2">
        <v>-1170</v>
      </c>
      <c r="O39" s="2">
        <v>0.39400000000000002</v>
      </c>
    </row>
    <row r="40" spans="1:62" x14ac:dyDescent="0.3">
      <c r="A40" s="3">
        <v>2</v>
      </c>
      <c r="B40" s="2" t="s">
        <v>34</v>
      </c>
      <c r="C40" s="2" t="s">
        <v>23</v>
      </c>
      <c r="D40" s="2" t="s">
        <v>28</v>
      </c>
      <c r="E40" s="2">
        <v>-0.79</v>
      </c>
      <c r="F40" s="2">
        <v>-2051</v>
      </c>
      <c r="G40" s="2">
        <v>-1735</v>
      </c>
      <c r="H40" s="2">
        <v>-2686</v>
      </c>
      <c r="I40" s="2">
        <v>127600</v>
      </c>
      <c r="J40" s="2">
        <v>442.6</v>
      </c>
      <c r="K40" s="2">
        <v>-526.20000000000005</v>
      </c>
      <c r="L40" s="2">
        <v>-687.6</v>
      </c>
      <c r="M40" s="2">
        <f t="shared" si="1"/>
        <v>0</v>
      </c>
      <c r="N40" s="2">
        <v>-1170</v>
      </c>
      <c r="O40" s="2">
        <v>0.35899999999999999</v>
      </c>
    </row>
    <row r="41" spans="1:62" x14ac:dyDescent="0.3">
      <c r="A41" s="3">
        <v>2</v>
      </c>
      <c r="B41" s="2" t="s">
        <v>34</v>
      </c>
      <c r="C41" s="2" t="s">
        <v>23</v>
      </c>
      <c r="D41" s="2" t="s">
        <v>28</v>
      </c>
      <c r="E41" s="2">
        <v>-1.19</v>
      </c>
      <c r="F41" s="2">
        <v>-1837</v>
      </c>
      <c r="G41" s="2">
        <v>-1555</v>
      </c>
      <c r="H41" s="2">
        <v>-2407</v>
      </c>
      <c r="I41" s="2">
        <v>115400</v>
      </c>
      <c r="J41" s="2">
        <v>442.6</v>
      </c>
      <c r="K41" s="2">
        <v>-526.20000000000005</v>
      </c>
      <c r="L41" s="2">
        <v>-687.6</v>
      </c>
      <c r="M41" s="2">
        <f t="shared" si="1"/>
        <v>0</v>
      </c>
      <c r="N41" s="2">
        <v>-1170</v>
      </c>
      <c r="O41" s="2">
        <v>0.32500000000000001</v>
      </c>
    </row>
    <row r="42" spans="1:62" x14ac:dyDescent="0.3">
      <c r="A42" s="3">
        <v>2</v>
      </c>
      <c r="B42" s="2" t="s">
        <v>34</v>
      </c>
      <c r="C42" s="2" t="s">
        <v>23</v>
      </c>
      <c r="D42" s="2" t="s">
        <v>28</v>
      </c>
      <c r="E42" s="2">
        <v>-1.6</v>
      </c>
      <c r="F42" s="2">
        <v>-1622</v>
      </c>
      <c r="G42" s="2">
        <v>-1374</v>
      </c>
      <c r="H42" s="2">
        <v>-2126</v>
      </c>
      <c r="I42" s="2">
        <v>103300</v>
      </c>
      <c r="J42" s="2">
        <v>442.6</v>
      </c>
      <c r="K42" s="2">
        <v>-526.20000000000005</v>
      </c>
      <c r="L42" s="2">
        <v>-687.6</v>
      </c>
      <c r="M42" s="2">
        <f t="shared" si="1"/>
        <v>0</v>
      </c>
      <c r="N42" s="2">
        <v>-1180</v>
      </c>
      <c r="O42" s="2">
        <v>0.29099999999999998</v>
      </c>
      <c r="AE42"/>
      <c r="AF42"/>
      <c r="AG42"/>
      <c r="AH42"/>
      <c r="AI42"/>
      <c r="AJ42"/>
      <c r="AK42"/>
      <c r="AL42"/>
      <c r="AM42"/>
      <c r="AN42"/>
      <c r="AO42"/>
      <c r="AP42"/>
      <c r="AQ42" s="7"/>
      <c r="AR42" s="7"/>
      <c r="AS42" s="7"/>
      <c r="AW42"/>
      <c r="AX42"/>
      <c r="AY42"/>
      <c r="AZ42"/>
      <c r="BA42"/>
      <c r="BB42"/>
      <c r="BC42"/>
      <c r="BD42"/>
      <c r="BE42"/>
      <c r="BF42"/>
      <c r="BG42"/>
      <c r="BH42"/>
    </row>
    <row r="43" spans="1:62" x14ac:dyDescent="0.3">
      <c r="A43" s="3">
        <v>2</v>
      </c>
      <c r="B43" s="2" t="s">
        <v>34</v>
      </c>
      <c r="C43" s="2" t="s">
        <v>23</v>
      </c>
      <c r="D43" s="2" t="s">
        <v>28</v>
      </c>
      <c r="E43" s="2">
        <v>-2</v>
      </c>
      <c r="F43" s="2">
        <v>-1407</v>
      </c>
      <c r="G43" s="2">
        <v>-1194</v>
      </c>
      <c r="H43" s="2">
        <v>-1845</v>
      </c>
      <c r="I43" s="2">
        <v>91080</v>
      </c>
      <c r="J43" s="2">
        <v>442.6</v>
      </c>
      <c r="K43" s="2">
        <v>-526.20000000000005</v>
      </c>
      <c r="L43" s="2">
        <v>-687.6</v>
      </c>
      <c r="M43" s="2">
        <f t="shared" si="1"/>
        <v>0</v>
      </c>
      <c r="N43" s="2">
        <v>-1180</v>
      </c>
      <c r="O43" s="2">
        <v>0.25700000000000001</v>
      </c>
      <c r="AE43"/>
      <c r="AF43"/>
      <c r="AG43"/>
      <c r="AH43"/>
      <c r="AI43"/>
      <c r="AJ43"/>
      <c r="AK43"/>
      <c r="AL43"/>
      <c r="AM43"/>
      <c r="AN43"/>
      <c r="AO43"/>
      <c r="AP43"/>
      <c r="AQ43" s="7"/>
      <c r="AR43" s="7"/>
      <c r="AS43" s="7"/>
      <c r="AW43"/>
      <c r="AX43"/>
      <c r="AY43"/>
      <c r="AZ43"/>
      <c r="BA43"/>
      <c r="BB43"/>
      <c r="BC43"/>
      <c r="BD43"/>
      <c r="BE43"/>
      <c r="BF43"/>
      <c r="BG43"/>
      <c r="BH43"/>
    </row>
    <row r="44" spans="1:62" x14ac:dyDescent="0.3">
      <c r="A44" s="3">
        <v>2</v>
      </c>
      <c r="B44" s="2" t="s">
        <v>34</v>
      </c>
      <c r="C44" s="2" t="s">
        <v>23</v>
      </c>
      <c r="D44" s="2" t="s">
        <v>28</v>
      </c>
      <c r="E44" s="2">
        <v>-2.35</v>
      </c>
      <c r="F44" s="2">
        <v>-1222</v>
      </c>
      <c r="G44" s="2">
        <v>-1038</v>
      </c>
      <c r="H44" s="2">
        <v>-1603</v>
      </c>
      <c r="I44" s="2">
        <v>80570</v>
      </c>
      <c r="J44" s="2">
        <v>438.4</v>
      </c>
      <c r="K44" s="2">
        <v>-521.1</v>
      </c>
      <c r="L44" s="2">
        <v>-681</v>
      </c>
      <c r="M44" s="2">
        <f t="shared" si="1"/>
        <v>-18.857142857142918</v>
      </c>
      <c r="N44" s="2">
        <v>-1180</v>
      </c>
      <c r="O44" s="2">
        <v>0.22700000000000001</v>
      </c>
      <c r="AE44"/>
      <c r="AF44" s="10" t="s">
        <v>53</v>
      </c>
      <c r="AG44" s="10" t="s">
        <v>54</v>
      </c>
      <c r="AH44" s="10" t="s">
        <v>55</v>
      </c>
      <c r="AI44" s="10" t="s">
        <v>56</v>
      </c>
      <c r="AJ44" s="10" t="s">
        <v>57</v>
      </c>
      <c r="AK44" s="10" t="s">
        <v>58</v>
      </c>
      <c r="AL44" s="10" t="s">
        <v>59</v>
      </c>
      <c r="AM44" s="10" t="s">
        <v>60</v>
      </c>
      <c r="AN44" s="10" t="s">
        <v>61</v>
      </c>
      <c r="AO44" s="10" t="s">
        <v>62</v>
      </c>
      <c r="AP44" s="10" t="s">
        <v>63</v>
      </c>
      <c r="AQ44" s="10" t="s">
        <v>64</v>
      </c>
      <c r="AR44" s="10" t="s">
        <v>65</v>
      </c>
      <c r="AS44" s="10" t="s">
        <v>66</v>
      </c>
      <c r="AT44" s="10" t="s">
        <v>67</v>
      </c>
      <c r="AU44" s="10" t="s">
        <v>68</v>
      </c>
      <c r="AV44" s="10" t="s">
        <v>69</v>
      </c>
      <c r="AW44" s="10" t="s">
        <v>70</v>
      </c>
      <c r="AX44" s="10" t="s">
        <v>71</v>
      </c>
      <c r="AY44" s="10" t="s">
        <v>72</v>
      </c>
      <c r="AZ44" s="10" t="s">
        <v>73</v>
      </c>
      <c r="BA44" s="10" t="s">
        <v>74</v>
      </c>
      <c r="BB44" s="10" t="s">
        <v>75</v>
      </c>
      <c r="BC44" s="10" t="s">
        <v>76</v>
      </c>
      <c r="BD44" s="10" t="s">
        <v>77</v>
      </c>
      <c r="BE44" s="10" t="s">
        <v>78</v>
      </c>
      <c r="BF44" s="10" t="s">
        <v>79</v>
      </c>
      <c r="BG44" s="10" t="s">
        <v>80</v>
      </c>
      <c r="BH44" s="10" t="s">
        <v>81</v>
      </c>
      <c r="BI44" s="10" t="s">
        <v>82</v>
      </c>
      <c r="BJ44" s="10" t="s">
        <v>83</v>
      </c>
    </row>
    <row r="45" spans="1:62" x14ac:dyDescent="0.3">
      <c r="A45" s="3">
        <v>2</v>
      </c>
      <c r="B45" s="2" t="s">
        <v>34</v>
      </c>
      <c r="C45" s="2" t="s">
        <v>23</v>
      </c>
      <c r="D45" s="2" t="s">
        <v>28</v>
      </c>
      <c r="E45" s="2">
        <v>-2.7</v>
      </c>
      <c r="F45" s="2">
        <v>-1041</v>
      </c>
      <c r="G45" s="2">
        <v>-885.2</v>
      </c>
      <c r="H45" s="2">
        <v>-1366</v>
      </c>
      <c r="I45" s="2">
        <v>70260</v>
      </c>
      <c r="J45" s="2">
        <v>424.9</v>
      </c>
      <c r="K45" s="2">
        <v>-505</v>
      </c>
      <c r="L45" s="2">
        <v>-660</v>
      </c>
      <c r="M45" s="2">
        <f t="shared" si="1"/>
        <v>-59.999999999999986</v>
      </c>
      <c r="N45" s="2">
        <v>-1180</v>
      </c>
      <c r="O45" s="2">
        <v>0.19800000000000001</v>
      </c>
      <c r="AE45"/>
      <c r="AF45" t="s">
        <v>35</v>
      </c>
      <c r="AG45">
        <v>2.0099999999999998</v>
      </c>
      <c r="AH45">
        <f>AG45-2</f>
        <v>9.9999999999997868E-3</v>
      </c>
      <c r="AI45" t="s">
        <v>36</v>
      </c>
      <c r="AJ45" t="s">
        <v>37</v>
      </c>
      <c r="AK45"/>
      <c r="AL45">
        <v>20.3</v>
      </c>
      <c r="AM45">
        <f>AL45*AH45</f>
        <v>0.20299999999999568</v>
      </c>
      <c r="AN45">
        <f>AM45-AH45*10</f>
        <v>0.10299999999999782</v>
      </c>
      <c r="AO45"/>
      <c r="AP45"/>
      <c r="AQ45"/>
      <c r="AR45"/>
      <c r="AS45" s="7">
        <v>0.5</v>
      </c>
      <c r="AT45" s="7"/>
      <c r="AU45" s="7">
        <v>0.5</v>
      </c>
      <c r="AY45"/>
      <c r="AZ45"/>
      <c r="BA45"/>
      <c r="BB45"/>
      <c r="BC45"/>
      <c r="BD45"/>
      <c r="BE45">
        <v>20</v>
      </c>
      <c r="BF45"/>
      <c r="BG45">
        <v>20</v>
      </c>
      <c r="BH45">
        <v>33.700000000000003</v>
      </c>
      <c r="BI45"/>
      <c r="BJ45">
        <v>33.700000000000003</v>
      </c>
    </row>
    <row r="46" spans="1:62" x14ac:dyDescent="0.3">
      <c r="A46" s="3">
        <v>2</v>
      </c>
      <c r="B46" s="2" t="s">
        <v>34</v>
      </c>
      <c r="C46" s="2" t="s">
        <v>23</v>
      </c>
      <c r="D46" s="2" t="s">
        <v>28</v>
      </c>
      <c r="E46" s="2">
        <v>-2.97</v>
      </c>
      <c r="F46" s="2">
        <v>-905.1</v>
      </c>
      <c r="G46" s="2">
        <v>-771.1</v>
      </c>
      <c r="H46" s="2">
        <v>-1189</v>
      </c>
      <c r="I46" s="2">
        <v>62520</v>
      </c>
      <c r="J46" s="2">
        <v>411.7</v>
      </c>
      <c r="K46" s="2">
        <v>-489.2</v>
      </c>
      <c r="L46" s="2">
        <v>-639.4</v>
      </c>
      <c r="M46" s="2">
        <f t="shared" si="1"/>
        <v>-76.296296296296376</v>
      </c>
      <c r="N46" s="2">
        <v>-1180</v>
      </c>
      <c r="O46" s="2">
        <v>0.17599999999999999</v>
      </c>
      <c r="AE46"/>
      <c r="AF46" t="s">
        <v>35</v>
      </c>
      <c r="AG46">
        <v>2.5</v>
      </c>
      <c r="AH46">
        <f t="shared" ref="AH46:AH54" si="2">AG46-2</f>
        <v>0.5</v>
      </c>
      <c r="AI46" t="s">
        <v>36</v>
      </c>
      <c r="AJ46" t="s">
        <v>37</v>
      </c>
      <c r="AK46"/>
      <c r="AL46">
        <v>20.3</v>
      </c>
      <c r="AM46">
        <f>AM45+AL46*(AH46-AH45)</f>
        <v>10.15</v>
      </c>
      <c r="AN46">
        <f t="shared" ref="AN46:AN54" si="3">AM46-AH46*10</f>
        <v>5.15</v>
      </c>
      <c r="AO46"/>
      <c r="AP46"/>
      <c r="AQ46"/>
      <c r="AR46"/>
      <c r="AS46" s="7">
        <v>0.5</v>
      </c>
      <c r="AT46" s="7"/>
      <c r="AU46" s="7">
        <v>0.5</v>
      </c>
      <c r="AY46"/>
      <c r="AZ46"/>
      <c r="BA46"/>
      <c r="BB46"/>
      <c r="BC46"/>
      <c r="BD46"/>
      <c r="BE46">
        <v>20</v>
      </c>
      <c r="BF46"/>
      <c r="BG46">
        <v>20</v>
      </c>
      <c r="BH46">
        <v>33.700000000000003</v>
      </c>
      <c r="BI46"/>
      <c r="BJ46">
        <v>33.700000000000003</v>
      </c>
    </row>
    <row r="47" spans="1:62" x14ac:dyDescent="0.3">
      <c r="A47" s="3">
        <v>2</v>
      </c>
      <c r="B47" s="2" t="s">
        <v>34</v>
      </c>
      <c r="C47" s="2" t="s">
        <v>23</v>
      </c>
      <c r="D47" s="2" t="s">
        <v>28</v>
      </c>
      <c r="E47" s="2">
        <v>-3.24</v>
      </c>
      <c r="F47" s="2">
        <v>-773.7</v>
      </c>
      <c r="G47" s="2">
        <v>-660.5</v>
      </c>
      <c r="H47" s="2">
        <v>-1017</v>
      </c>
      <c r="I47" s="2">
        <v>55010</v>
      </c>
      <c r="J47" s="2">
        <v>398.9</v>
      </c>
      <c r="K47" s="2">
        <v>-473.9</v>
      </c>
      <c r="L47" s="2">
        <v>-619.4</v>
      </c>
      <c r="M47" s="2">
        <f t="shared" si="1"/>
        <v>-74.074074074074076</v>
      </c>
      <c r="N47" s="2">
        <v>-1180</v>
      </c>
      <c r="O47" s="2">
        <v>0.155</v>
      </c>
      <c r="AE47"/>
      <c r="AF47" t="s">
        <v>35</v>
      </c>
      <c r="AG47">
        <v>2.5099999999999998</v>
      </c>
      <c r="AH47">
        <f t="shared" si="2"/>
        <v>0.50999999999999979</v>
      </c>
      <c r="AI47" t="s">
        <v>36</v>
      </c>
      <c r="AJ47" t="s">
        <v>38</v>
      </c>
      <c r="AK47"/>
      <c r="AL47">
        <v>21.5</v>
      </c>
      <c r="AM47">
        <f t="shared" ref="AM47:AM54" si="4">AM46+AL47*(AH47-AH46)</f>
        <v>10.364999999999995</v>
      </c>
      <c r="AN47">
        <f t="shared" si="3"/>
        <v>5.264999999999997</v>
      </c>
      <c r="AO47"/>
      <c r="AP47"/>
      <c r="AQ47"/>
      <c r="AR47"/>
      <c r="AS47" s="7"/>
      <c r="AT47" s="7"/>
      <c r="AU47" s="7"/>
      <c r="AY47"/>
      <c r="AZ47"/>
      <c r="BA47"/>
      <c r="BB47">
        <v>35</v>
      </c>
      <c r="BC47"/>
      <c r="BD47" s="2">
        <v>60</v>
      </c>
      <c r="BE47"/>
      <c r="BF47"/>
      <c r="BG47"/>
      <c r="BH47"/>
      <c r="BI47"/>
      <c r="BJ47"/>
    </row>
    <row r="48" spans="1:62" x14ac:dyDescent="0.3">
      <c r="A48" s="3">
        <v>2</v>
      </c>
      <c r="B48" s="2" t="s">
        <v>34</v>
      </c>
      <c r="C48" s="2" t="s">
        <v>23</v>
      </c>
      <c r="D48" s="2" t="s">
        <v>28</v>
      </c>
      <c r="E48" s="2">
        <v>-3.59</v>
      </c>
      <c r="F48" s="2">
        <v>-609.79999999999995</v>
      </c>
      <c r="G48" s="2">
        <v>-522.6</v>
      </c>
      <c r="H48" s="2">
        <v>-803.1</v>
      </c>
      <c r="I48" s="2">
        <v>45670</v>
      </c>
      <c r="J48" s="2">
        <v>380.2</v>
      </c>
      <c r="K48" s="2">
        <v>-451.6</v>
      </c>
      <c r="L48" s="2">
        <v>-590.29999999999995</v>
      </c>
      <c r="M48" s="2">
        <f t="shared" si="1"/>
        <v>-83.142857142857295</v>
      </c>
      <c r="N48" s="2">
        <v>-1170</v>
      </c>
      <c r="O48" s="2">
        <v>0.129</v>
      </c>
      <c r="AE48"/>
      <c r="AF48" t="s">
        <v>35</v>
      </c>
      <c r="AG48">
        <v>5</v>
      </c>
      <c r="AH48">
        <f t="shared" si="2"/>
        <v>3</v>
      </c>
      <c r="AI48" t="s">
        <v>36</v>
      </c>
      <c r="AJ48" t="s">
        <v>38</v>
      </c>
      <c r="AK48"/>
      <c r="AL48">
        <v>21.5</v>
      </c>
      <c r="AM48">
        <f t="shared" si="4"/>
        <v>63.9</v>
      </c>
      <c r="AN48">
        <f t="shared" si="3"/>
        <v>33.9</v>
      </c>
      <c r="AO48"/>
      <c r="AP48"/>
      <c r="AQ48"/>
      <c r="AR48"/>
      <c r="AS48" s="7"/>
      <c r="AT48" s="7"/>
      <c r="AU48" s="7"/>
      <c r="AY48"/>
      <c r="AZ48"/>
      <c r="BA48"/>
      <c r="BB48">
        <v>65</v>
      </c>
      <c r="BC48"/>
      <c r="BD48">
        <v>100</v>
      </c>
      <c r="BE48"/>
      <c r="BF48"/>
      <c r="BG48"/>
      <c r="BH48"/>
      <c r="BI48"/>
      <c r="BJ48"/>
    </row>
    <row r="49" spans="1:62" x14ac:dyDescent="0.3">
      <c r="A49" s="3">
        <v>2</v>
      </c>
      <c r="B49" s="2" t="s">
        <v>34</v>
      </c>
      <c r="C49" s="2" t="s">
        <v>23</v>
      </c>
      <c r="D49" s="2" t="s">
        <v>28</v>
      </c>
      <c r="E49" s="2">
        <v>-3.94</v>
      </c>
      <c r="F49" s="2">
        <v>-454.2</v>
      </c>
      <c r="G49" s="2">
        <v>-391.6</v>
      </c>
      <c r="H49" s="2">
        <v>-599.70000000000005</v>
      </c>
      <c r="I49" s="2">
        <v>36760</v>
      </c>
      <c r="J49" s="2">
        <v>359.2</v>
      </c>
      <c r="K49" s="2">
        <v>-426.4</v>
      </c>
      <c r="L49" s="2">
        <v>-557.5</v>
      </c>
      <c r="M49" s="2">
        <f t="shared" si="1"/>
        <v>-93.714285714285566</v>
      </c>
      <c r="N49" s="2">
        <v>-1160</v>
      </c>
      <c r="O49" s="2">
        <v>0.104</v>
      </c>
      <c r="AE49"/>
      <c r="AF49" t="s">
        <v>35</v>
      </c>
      <c r="AG49">
        <v>5.01</v>
      </c>
      <c r="AH49">
        <f t="shared" si="2"/>
        <v>3.01</v>
      </c>
      <c r="AI49" t="s">
        <v>36</v>
      </c>
      <c r="AJ49" t="s">
        <v>38</v>
      </c>
      <c r="AK49"/>
      <c r="AL49">
        <v>21.5</v>
      </c>
      <c r="AM49">
        <f t="shared" si="4"/>
        <v>64.114999999999995</v>
      </c>
      <c r="AN49">
        <f t="shared" si="3"/>
        <v>34.015000000000001</v>
      </c>
      <c r="AO49"/>
      <c r="AP49"/>
      <c r="AQ49"/>
      <c r="AR49"/>
      <c r="AS49" s="7"/>
      <c r="AT49" s="7"/>
      <c r="AU49" s="7"/>
      <c r="AY49"/>
      <c r="AZ49"/>
      <c r="BA49"/>
      <c r="BB49">
        <v>65</v>
      </c>
      <c r="BC49"/>
      <c r="BD49">
        <v>100</v>
      </c>
      <c r="BE49"/>
      <c r="BF49"/>
      <c r="BG49"/>
      <c r="BH49"/>
      <c r="BI49"/>
      <c r="BJ49"/>
    </row>
    <row r="50" spans="1:62" x14ac:dyDescent="0.3">
      <c r="A50" s="3">
        <v>2</v>
      </c>
      <c r="B50" s="2" t="s">
        <v>34</v>
      </c>
      <c r="C50" s="2" t="s">
        <v>23</v>
      </c>
      <c r="D50" s="2" t="s">
        <v>28</v>
      </c>
      <c r="E50" s="2">
        <v>-4.29</v>
      </c>
      <c r="F50" s="2">
        <v>-306.60000000000002</v>
      </c>
      <c r="G50" s="2">
        <v>-267.2</v>
      </c>
      <c r="H50" s="2">
        <v>-406.7</v>
      </c>
      <c r="I50" s="2">
        <v>28290</v>
      </c>
      <c r="J50" s="2">
        <v>335.6</v>
      </c>
      <c r="K50" s="2">
        <v>-398.2</v>
      </c>
      <c r="L50" s="2">
        <v>-520.79999999999995</v>
      </c>
      <c r="M50" s="2">
        <f t="shared" si="1"/>
        <v>-104.85714285714296</v>
      </c>
      <c r="N50" s="2">
        <v>-1150</v>
      </c>
      <c r="O50" s="2">
        <v>0.08</v>
      </c>
      <c r="AE50"/>
      <c r="AF50" t="s">
        <v>35</v>
      </c>
      <c r="AG50">
        <v>8</v>
      </c>
      <c r="AH50">
        <f t="shared" si="2"/>
        <v>6</v>
      </c>
      <c r="AI50" t="s">
        <v>36</v>
      </c>
      <c r="AJ50" t="s">
        <v>38</v>
      </c>
      <c r="AK50"/>
      <c r="AL50">
        <v>21.5</v>
      </c>
      <c r="AM50">
        <f t="shared" si="4"/>
        <v>128.4</v>
      </c>
      <c r="AN50">
        <f t="shared" si="3"/>
        <v>68.400000000000006</v>
      </c>
      <c r="AO50"/>
      <c r="AP50"/>
      <c r="AQ50"/>
      <c r="AR50"/>
      <c r="AS50" s="7"/>
      <c r="AT50" s="7"/>
      <c r="AU50" s="7"/>
      <c r="AY50"/>
      <c r="AZ50"/>
      <c r="BA50"/>
      <c r="BB50">
        <v>70</v>
      </c>
      <c r="BC50"/>
      <c r="BD50">
        <v>120</v>
      </c>
      <c r="BE50"/>
      <c r="BF50"/>
      <c r="BG50"/>
      <c r="BH50"/>
      <c r="BI50"/>
      <c r="BJ50"/>
    </row>
    <row r="51" spans="1:62" x14ac:dyDescent="0.3">
      <c r="A51" s="3">
        <v>2</v>
      </c>
      <c r="B51" s="2" t="s">
        <v>34</v>
      </c>
      <c r="C51" s="2" t="s">
        <v>23</v>
      </c>
      <c r="D51" s="2" t="s">
        <v>28</v>
      </c>
      <c r="E51" s="2">
        <v>-4.6500000000000004</v>
      </c>
      <c r="F51" s="2">
        <v>-169.4</v>
      </c>
      <c r="G51" s="2">
        <v>-151.6</v>
      </c>
      <c r="H51" s="2">
        <v>-227.3</v>
      </c>
      <c r="I51" s="2">
        <v>20410</v>
      </c>
      <c r="J51" s="2">
        <v>309.60000000000002</v>
      </c>
      <c r="K51" s="2">
        <v>-367.2</v>
      </c>
      <c r="L51" s="2">
        <v>-480.3</v>
      </c>
      <c r="M51" s="2">
        <f t="shared" si="1"/>
        <v>-112.49999999999974</v>
      </c>
      <c r="N51" s="2">
        <v>-1140</v>
      </c>
      <c r="O51" s="2">
        <v>5.7000000000000002E-2</v>
      </c>
      <c r="AE51"/>
      <c r="AF51" t="s">
        <v>35</v>
      </c>
      <c r="AG51">
        <v>8.01</v>
      </c>
      <c r="AH51">
        <f t="shared" si="2"/>
        <v>6.01</v>
      </c>
      <c r="AI51" t="s">
        <v>36</v>
      </c>
      <c r="AJ51" t="s">
        <v>37</v>
      </c>
      <c r="AK51"/>
      <c r="AL51">
        <v>21.3</v>
      </c>
      <c r="AM51">
        <f t="shared" si="4"/>
        <v>128.613</v>
      </c>
      <c r="AN51">
        <f t="shared" si="3"/>
        <v>68.513000000000005</v>
      </c>
      <c r="AO51"/>
      <c r="AP51"/>
      <c r="AQ51"/>
      <c r="AR51"/>
      <c r="AS51" s="7">
        <v>2</v>
      </c>
      <c r="AT51" s="7"/>
      <c r="AU51" s="7">
        <v>40</v>
      </c>
      <c r="AY51"/>
      <c r="AZ51"/>
      <c r="BA51"/>
      <c r="BB51"/>
      <c r="BC51"/>
      <c r="BD51"/>
      <c r="BE51">
        <v>100</v>
      </c>
      <c r="BF51"/>
      <c r="BG51">
        <v>100</v>
      </c>
      <c r="BH51">
        <v>46.6</v>
      </c>
      <c r="BI51"/>
      <c r="BJ51">
        <v>46.6</v>
      </c>
    </row>
    <row r="52" spans="1:62" x14ac:dyDescent="0.3">
      <c r="A52" s="3">
        <v>2</v>
      </c>
      <c r="B52" s="2" t="s">
        <v>34</v>
      </c>
      <c r="C52" s="2" t="s">
        <v>23</v>
      </c>
      <c r="D52" s="2" t="s">
        <v>28</v>
      </c>
      <c r="E52" s="2">
        <v>-5</v>
      </c>
      <c r="F52" s="2">
        <v>-43.65</v>
      </c>
      <c r="G52" s="2">
        <v>-45.52</v>
      </c>
      <c r="H52" s="2">
        <v>-63.07</v>
      </c>
      <c r="I52" s="2">
        <v>13170</v>
      </c>
      <c r="J52" s="2">
        <v>281.3</v>
      </c>
      <c r="K52" s="2">
        <v>-333.4</v>
      </c>
      <c r="L52" s="2">
        <v>-436.2</v>
      </c>
      <c r="M52" s="2">
        <f t="shared" si="1"/>
        <v>-126.0000000000002</v>
      </c>
      <c r="N52" s="2">
        <v>-1130</v>
      </c>
      <c r="O52" s="2">
        <v>3.6999999999999998E-2</v>
      </c>
      <c r="AE52"/>
      <c r="AF52" t="s">
        <v>35</v>
      </c>
      <c r="AG52">
        <v>9.5</v>
      </c>
      <c r="AH52">
        <f t="shared" si="2"/>
        <v>7.5</v>
      </c>
      <c r="AI52" t="s">
        <v>36</v>
      </c>
      <c r="AJ52" t="s">
        <v>37</v>
      </c>
      <c r="AK52"/>
      <c r="AL52">
        <v>21.3</v>
      </c>
      <c r="AM52">
        <f t="shared" si="4"/>
        <v>160.35</v>
      </c>
      <c r="AN52">
        <f t="shared" si="3"/>
        <v>85.35</v>
      </c>
      <c r="AO52"/>
      <c r="AP52"/>
      <c r="AQ52"/>
      <c r="AR52"/>
      <c r="AS52" s="7">
        <v>100</v>
      </c>
      <c r="AT52" s="7"/>
      <c r="AU52" s="7">
        <v>110</v>
      </c>
      <c r="AX52" s="7"/>
      <c r="AY52"/>
      <c r="AZ52"/>
      <c r="BA52"/>
      <c r="BB52"/>
      <c r="BC52"/>
      <c r="BD52"/>
      <c r="BE52">
        <v>100</v>
      </c>
      <c r="BF52"/>
      <c r="BG52">
        <v>100</v>
      </c>
      <c r="BH52">
        <v>46.6</v>
      </c>
      <c r="BI52"/>
      <c r="BJ52">
        <v>46.6</v>
      </c>
    </row>
    <row r="53" spans="1:62" x14ac:dyDescent="0.3">
      <c r="A53" s="3">
        <v>2</v>
      </c>
      <c r="B53" s="2" t="s">
        <v>34</v>
      </c>
      <c r="C53" s="2" t="s">
        <v>23</v>
      </c>
      <c r="D53" s="2" t="s">
        <v>28</v>
      </c>
      <c r="E53" s="2">
        <v>-5.41</v>
      </c>
      <c r="F53" s="2">
        <v>87.89</v>
      </c>
      <c r="G53" s="2">
        <v>65.52</v>
      </c>
      <c r="H53" s="2">
        <v>109.6</v>
      </c>
      <c r="I53" s="2">
        <v>14970</v>
      </c>
      <c r="J53" s="2">
        <v>247.4</v>
      </c>
      <c r="K53" s="2">
        <v>-292.8</v>
      </c>
      <c r="L53" s="2">
        <v>-383.3</v>
      </c>
      <c r="M53" s="2">
        <f t="shared" si="1"/>
        <v>-129.02439024390233</v>
      </c>
      <c r="N53" s="2">
        <v>-1120</v>
      </c>
      <c r="O53" s="2">
        <v>4.2000000000000003E-2</v>
      </c>
      <c r="AE53"/>
      <c r="AF53" t="s">
        <v>35</v>
      </c>
      <c r="AG53">
        <v>9.51</v>
      </c>
      <c r="AH53">
        <f t="shared" si="2"/>
        <v>7.51</v>
      </c>
      <c r="AI53" t="s">
        <v>36</v>
      </c>
      <c r="AJ53" t="s">
        <v>37</v>
      </c>
      <c r="AK53"/>
      <c r="AL53">
        <v>21.3</v>
      </c>
      <c r="AM53">
        <f t="shared" si="4"/>
        <v>160.56299999999999</v>
      </c>
      <c r="AN53">
        <f t="shared" si="3"/>
        <v>85.462999999999994</v>
      </c>
      <c r="AO53"/>
      <c r="AP53"/>
      <c r="AQ53"/>
      <c r="AR53"/>
      <c r="AS53" s="7">
        <v>100</v>
      </c>
      <c r="AT53" s="7"/>
      <c r="AU53" s="7">
        <v>110</v>
      </c>
      <c r="AX53" s="7"/>
      <c r="AY53"/>
      <c r="AZ53"/>
      <c r="BA53"/>
      <c r="BB53"/>
      <c r="BC53"/>
      <c r="BD53"/>
      <c r="BE53">
        <v>100</v>
      </c>
      <c r="BF53"/>
      <c r="BG53">
        <v>100</v>
      </c>
      <c r="BH53">
        <v>46.6</v>
      </c>
      <c r="BI53"/>
      <c r="BJ53">
        <v>46.6</v>
      </c>
    </row>
    <row r="54" spans="1:62" x14ac:dyDescent="0.3">
      <c r="A54" s="3">
        <v>2</v>
      </c>
      <c r="B54" s="2" t="s">
        <v>34</v>
      </c>
      <c r="C54" s="2" t="s">
        <v>23</v>
      </c>
      <c r="D54" s="2" t="s">
        <v>28</v>
      </c>
      <c r="E54" s="2">
        <v>-5.83</v>
      </c>
      <c r="F54" s="2">
        <v>203</v>
      </c>
      <c r="G54" s="2">
        <v>162.80000000000001</v>
      </c>
      <c r="H54" s="2">
        <v>260.2</v>
      </c>
      <c r="I54" s="2">
        <v>21390</v>
      </c>
      <c r="J54" s="2">
        <v>215.2</v>
      </c>
      <c r="K54" s="2">
        <v>-254.4</v>
      </c>
      <c r="L54" s="2">
        <v>-333.2</v>
      </c>
      <c r="M54" s="2">
        <f t="shared" si="1"/>
        <v>-119.28571428571436</v>
      </c>
      <c r="N54" s="2">
        <v>-1110</v>
      </c>
      <c r="O54" s="2">
        <v>0.06</v>
      </c>
      <c r="AE54"/>
      <c r="AF54" t="s">
        <v>35</v>
      </c>
      <c r="AG54">
        <v>13</v>
      </c>
      <c r="AH54">
        <f t="shared" si="2"/>
        <v>11</v>
      </c>
      <c r="AI54" t="s">
        <v>36</v>
      </c>
      <c r="AJ54" t="s">
        <v>37</v>
      </c>
      <c r="AK54"/>
      <c r="AL54">
        <v>21.3</v>
      </c>
      <c r="AM54">
        <f t="shared" si="4"/>
        <v>234.89999999999998</v>
      </c>
      <c r="AN54">
        <f t="shared" si="3"/>
        <v>124.89999999999998</v>
      </c>
      <c r="AO54"/>
      <c r="AP54"/>
      <c r="AQ54"/>
      <c r="AR54"/>
      <c r="AS54" s="7">
        <v>55</v>
      </c>
      <c r="AT54" s="7"/>
      <c r="AU54" s="7">
        <v>110</v>
      </c>
      <c r="AY54"/>
      <c r="AZ54"/>
      <c r="BA54"/>
      <c r="BB54"/>
      <c r="BC54"/>
      <c r="BD54"/>
      <c r="BE54">
        <v>100</v>
      </c>
      <c r="BF54"/>
      <c r="BG54">
        <v>100</v>
      </c>
      <c r="BH54">
        <v>46.6</v>
      </c>
      <c r="BI54"/>
      <c r="BJ54">
        <v>46.6</v>
      </c>
    </row>
    <row r="55" spans="1:62" x14ac:dyDescent="0.3">
      <c r="A55" s="3">
        <v>2</v>
      </c>
      <c r="B55" s="2" t="s">
        <v>34</v>
      </c>
      <c r="C55" s="2" t="s">
        <v>23</v>
      </c>
      <c r="D55" s="2" t="s">
        <v>28</v>
      </c>
      <c r="E55" s="2">
        <v>-6.24</v>
      </c>
      <c r="F55" s="2">
        <v>302.8</v>
      </c>
      <c r="G55" s="2">
        <v>247.3</v>
      </c>
      <c r="H55" s="2">
        <v>391</v>
      </c>
      <c r="I55" s="2">
        <v>26950</v>
      </c>
      <c r="J55" s="2">
        <v>185.7</v>
      </c>
      <c r="K55" s="2">
        <v>-219.1</v>
      </c>
      <c r="L55" s="2">
        <v>-287.2</v>
      </c>
      <c r="M55" s="2">
        <f t="shared" si="1"/>
        <v>-112.19512195121948</v>
      </c>
      <c r="N55" s="2">
        <v>-1090</v>
      </c>
      <c r="O55" s="2">
        <v>7.5999999999999998E-2</v>
      </c>
      <c r="AE55"/>
      <c r="AF55"/>
      <c r="AG55"/>
      <c r="AH55"/>
      <c r="AI55"/>
      <c r="AJ55"/>
      <c r="AK55"/>
      <c r="AL55"/>
      <c r="AM55"/>
      <c r="AN55"/>
      <c r="AO55"/>
      <c r="AP55"/>
      <c r="AQ55" s="7"/>
      <c r="AR55" s="7"/>
      <c r="AS55" s="7"/>
      <c r="AW55"/>
      <c r="AX55"/>
      <c r="AY55"/>
      <c r="AZ55"/>
      <c r="BA55"/>
      <c r="BB55"/>
      <c r="BC55"/>
      <c r="BD55"/>
      <c r="BE55"/>
      <c r="BF55"/>
      <c r="BG55"/>
      <c r="BH55"/>
    </row>
    <row r="56" spans="1:62" x14ac:dyDescent="0.3">
      <c r="A56" s="3">
        <v>2</v>
      </c>
      <c r="B56" s="2" t="s">
        <v>34</v>
      </c>
      <c r="C56" s="2" t="s">
        <v>23</v>
      </c>
      <c r="D56" s="2" t="s">
        <v>28</v>
      </c>
      <c r="E56" s="2">
        <v>-6.68</v>
      </c>
      <c r="F56" s="2">
        <v>393.9</v>
      </c>
      <c r="G56" s="2">
        <v>324.5</v>
      </c>
      <c r="H56" s="2">
        <v>510.4</v>
      </c>
      <c r="I56" s="2">
        <v>31990</v>
      </c>
      <c r="J56" s="2">
        <v>157.5</v>
      </c>
      <c r="K56" s="2">
        <v>-185.4</v>
      </c>
      <c r="L56" s="2">
        <v>-243.3</v>
      </c>
      <c r="M56" s="2">
        <f t="shared" si="1"/>
        <v>-99.772727272727337</v>
      </c>
      <c r="N56" s="2">
        <v>-1080</v>
      </c>
      <c r="O56" s="2">
        <v>0.09</v>
      </c>
      <c r="AE56"/>
      <c r="AF56"/>
      <c r="AG56"/>
      <c r="AH56"/>
      <c r="AI56"/>
      <c r="AJ56"/>
      <c r="AK56"/>
      <c r="AL56"/>
      <c r="AM56"/>
      <c r="AN56"/>
      <c r="AO56"/>
      <c r="AP56"/>
      <c r="AQ56" s="7"/>
      <c r="AR56" s="7"/>
      <c r="AS56" s="7"/>
      <c r="AW56"/>
      <c r="AX56"/>
      <c r="AY56"/>
      <c r="AZ56"/>
      <c r="BA56"/>
      <c r="BB56"/>
      <c r="BC56"/>
      <c r="BD56"/>
      <c r="BE56"/>
      <c r="BF56"/>
      <c r="BG56"/>
      <c r="BH56"/>
    </row>
    <row r="57" spans="1:62" x14ac:dyDescent="0.3">
      <c r="A57" s="3">
        <v>2</v>
      </c>
      <c r="B57" s="2" t="s">
        <v>34</v>
      </c>
      <c r="C57" s="2" t="s">
        <v>23</v>
      </c>
      <c r="D57" s="2" t="s">
        <v>28</v>
      </c>
      <c r="E57" s="2">
        <v>-7.12</v>
      </c>
      <c r="F57" s="2">
        <v>470.9</v>
      </c>
      <c r="G57" s="2">
        <v>390</v>
      </c>
      <c r="H57" s="2">
        <v>611.4</v>
      </c>
      <c r="I57" s="2">
        <v>36240</v>
      </c>
      <c r="J57" s="2">
        <v>133</v>
      </c>
      <c r="K57" s="2">
        <v>-156.30000000000001</v>
      </c>
      <c r="L57" s="2">
        <v>-205.2</v>
      </c>
      <c r="M57" s="2">
        <f t="shared" si="1"/>
        <v>-86.590909090909065</v>
      </c>
      <c r="N57" s="2">
        <v>-1060</v>
      </c>
      <c r="O57" s="2">
        <v>0.10199999999999999</v>
      </c>
      <c r="AE57"/>
      <c r="AF57"/>
      <c r="AG57"/>
      <c r="AH57"/>
      <c r="AI57"/>
      <c r="AJ57"/>
      <c r="AK57"/>
      <c r="AL57"/>
      <c r="AM57"/>
      <c r="AN57"/>
      <c r="AO57"/>
      <c r="AP57"/>
      <c r="AQ57" s="7"/>
      <c r="AR57" s="7"/>
      <c r="AS57" s="7"/>
      <c r="AW57"/>
      <c r="AX57"/>
      <c r="AY57"/>
      <c r="AZ57"/>
      <c r="BA57"/>
      <c r="BB57"/>
      <c r="BC57"/>
      <c r="BD57"/>
      <c r="BE57"/>
      <c r="BF57"/>
      <c r="BG57"/>
      <c r="BH57"/>
    </row>
    <row r="58" spans="1:62" x14ac:dyDescent="0.3">
      <c r="A58" s="3">
        <v>2</v>
      </c>
      <c r="B58" s="2" t="s">
        <v>34</v>
      </c>
      <c r="C58" s="2" t="s">
        <v>23</v>
      </c>
      <c r="D58" s="2" t="s">
        <v>28</v>
      </c>
      <c r="E58" s="2">
        <v>-7.56</v>
      </c>
      <c r="F58" s="2">
        <v>536.20000000000005</v>
      </c>
      <c r="G58" s="2">
        <v>445.6</v>
      </c>
      <c r="H58" s="2">
        <v>697.2</v>
      </c>
      <c r="I58" s="2">
        <v>39810</v>
      </c>
      <c r="J58" s="2">
        <v>112.7</v>
      </c>
      <c r="K58" s="2">
        <v>-131.9</v>
      </c>
      <c r="L58" s="2">
        <v>-173.5</v>
      </c>
      <c r="M58" s="2">
        <f t="shared" si="1"/>
        <v>-72.045454545454604</v>
      </c>
      <c r="N58" s="2">
        <v>-1040</v>
      </c>
      <c r="O58" s="2">
        <v>0.112</v>
      </c>
      <c r="AE58"/>
      <c r="AF58"/>
      <c r="AG58"/>
      <c r="AH58"/>
      <c r="AI58"/>
      <c r="AJ58"/>
      <c r="AK58"/>
      <c r="AL58"/>
      <c r="AM58"/>
      <c r="AN58"/>
      <c r="AO58"/>
      <c r="AP58"/>
      <c r="AQ58" s="7"/>
      <c r="AR58" s="7"/>
      <c r="AS58" s="7"/>
      <c r="AW58"/>
      <c r="AX58"/>
      <c r="AY58"/>
      <c r="AZ58"/>
      <c r="BA58"/>
      <c r="BB58"/>
      <c r="BC58"/>
      <c r="BD58"/>
      <c r="BE58"/>
      <c r="BF58"/>
      <c r="BG58"/>
      <c r="BH58"/>
    </row>
    <row r="59" spans="1:62" x14ac:dyDescent="0.3">
      <c r="A59" s="3">
        <v>2</v>
      </c>
      <c r="B59" s="2" t="s">
        <v>34</v>
      </c>
      <c r="C59" s="2" t="s">
        <v>23</v>
      </c>
      <c r="D59" s="2" t="s">
        <v>28</v>
      </c>
      <c r="E59" s="2">
        <v>-8</v>
      </c>
      <c r="F59" s="2">
        <v>591.79999999999995</v>
      </c>
      <c r="G59" s="2">
        <v>493.1</v>
      </c>
      <c r="H59" s="2">
        <v>770.3</v>
      </c>
      <c r="I59" s="2">
        <v>42840</v>
      </c>
      <c r="J59" s="2">
        <v>96.74</v>
      </c>
      <c r="K59" s="2">
        <v>-112.9</v>
      </c>
      <c r="L59" s="2">
        <v>-148.69999999999999</v>
      </c>
      <c r="M59" s="2">
        <f t="shared" si="1"/>
        <v>-56.363636363636338</v>
      </c>
      <c r="N59" s="2">
        <v>-1030</v>
      </c>
      <c r="O59" s="2">
        <v>0.121</v>
      </c>
      <c r="AE59"/>
      <c r="AF59"/>
      <c r="AG59"/>
      <c r="AH59"/>
      <c r="AI59"/>
      <c r="AJ59"/>
      <c r="AK59"/>
      <c r="AL59"/>
      <c r="AM59"/>
      <c r="AN59"/>
      <c r="AO59"/>
      <c r="AP59"/>
      <c r="AQ59" s="7"/>
      <c r="AR59" s="7"/>
      <c r="AS59" s="7"/>
      <c r="AW59"/>
      <c r="AX59"/>
      <c r="AY59"/>
      <c r="AZ59"/>
      <c r="BA59"/>
      <c r="BB59"/>
      <c r="BC59"/>
      <c r="BD59"/>
      <c r="BE59"/>
      <c r="BF59"/>
      <c r="BG59"/>
      <c r="BH59"/>
    </row>
    <row r="60" spans="1:62" x14ac:dyDescent="0.3">
      <c r="A60" s="3">
        <v>2</v>
      </c>
      <c r="B60" s="2" t="s">
        <v>34</v>
      </c>
      <c r="C60" s="2" t="s">
        <v>23</v>
      </c>
      <c r="D60" s="2" t="s">
        <v>28</v>
      </c>
      <c r="E60" s="2">
        <v>-8.41</v>
      </c>
      <c r="F60" s="2">
        <v>607.1</v>
      </c>
      <c r="G60" s="2">
        <v>506.8</v>
      </c>
      <c r="H60" s="2">
        <v>790.8</v>
      </c>
      <c r="I60" s="2">
        <v>43450</v>
      </c>
      <c r="J60" s="2">
        <v>-98.25</v>
      </c>
      <c r="K60" s="2">
        <v>119.6</v>
      </c>
      <c r="L60" s="2">
        <v>154.80000000000001</v>
      </c>
      <c r="M60" s="2">
        <f t="shared" si="1"/>
        <v>-740.24390243902417</v>
      </c>
      <c r="N60" s="2">
        <v>-995</v>
      </c>
      <c r="O60" s="2">
        <v>0.122</v>
      </c>
    </row>
    <row r="61" spans="1:62" x14ac:dyDescent="0.3">
      <c r="A61" s="3">
        <v>2</v>
      </c>
      <c r="B61" s="2" t="s">
        <v>34</v>
      </c>
      <c r="C61" s="2" t="s">
        <v>23</v>
      </c>
      <c r="D61" s="2" t="s">
        <v>28</v>
      </c>
      <c r="E61" s="2">
        <v>-8.83</v>
      </c>
      <c r="F61" s="2">
        <v>482.2</v>
      </c>
      <c r="G61" s="2">
        <v>402.9</v>
      </c>
      <c r="H61" s="2">
        <v>628.4</v>
      </c>
      <c r="I61" s="2">
        <v>35960</v>
      </c>
      <c r="J61" s="2">
        <v>-378.8</v>
      </c>
      <c r="K61" s="2">
        <v>454.1</v>
      </c>
      <c r="L61" s="2">
        <v>591.4</v>
      </c>
      <c r="M61" s="2">
        <f t="shared" si="1"/>
        <v>-1039.5238095238096</v>
      </c>
      <c r="N61" s="2">
        <v>-948</v>
      </c>
      <c r="O61" s="2">
        <v>0.10100000000000001</v>
      </c>
      <c r="AD61"/>
      <c r="AE61"/>
      <c r="AH61"/>
      <c r="AI61"/>
      <c r="AJ61"/>
      <c r="AK61"/>
      <c r="AL61"/>
      <c r="AM61"/>
      <c r="AN61"/>
      <c r="AO61"/>
      <c r="AP61"/>
      <c r="AQ61" s="7"/>
      <c r="AR61" s="7"/>
      <c r="AS61" s="7"/>
      <c r="AW61"/>
      <c r="AX61"/>
      <c r="AY61"/>
      <c r="AZ61"/>
      <c r="BA61"/>
      <c r="BB61"/>
      <c r="BC61"/>
      <c r="BD61"/>
      <c r="BE61"/>
      <c r="BF61"/>
      <c r="BG61"/>
      <c r="BH61"/>
    </row>
    <row r="62" spans="1:62" x14ac:dyDescent="0.3">
      <c r="A62" s="3">
        <v>2</v>
      </c>
      <c r="B62" s="2" t="s">
        <v>34</v>
      </c>
      <c r="C62" s="2" t="s">
        <v>23</v>
      </c>
      <c r="D62" s="2" t="s">
        <v>28</v>
      </c>
      <c r="E62" s="2">
        <v>-9.24</v>
      </c>
      <c r="F62" s="2">
        <v>268.10000000000002</v>
      </c>
      <c r="G62" s="2">
        <v>224.2</v>
      </c>
      <c r="H62" s="2">
        <v>349.5</v>
      </c>
      <c r="I62" s="2">
        <v>23370</v>
      </c>
      <c r="J62" s="2">
        <v>-456.5</v>
      </c>
      <c r="K62" s="2">
        <v>546.29999999999995</v>
      </c>
      <c r="L62" s="2">
        <v>711.9</v>
      </c>
      <c r="M62" s="2">
        <f t="shared" si="1"/>
        <v>-293.90243902439016</v>
      </c>
      <c r="N62" s="2">
        <v>-898</v>
      </c>
      <c r="O62" s="2">
        <v>6.6000000000000003E-2</v>
      </c>
      <c r="AD62"/>
      <c r="AE62"/>
      <c r="AH62"/>
      <c r="AI62"/>
      <c r="AJ62"/>
      <c r="AK62"/>
      <c r="AL62"/>
      <c r="AM62"/>
      <c r="AN62"/>
      <c r="AO62"/>
      <c r="AP62"/>
      <c r="AQ62" s="7"/>
      <c r="AR62" s="7"/>
      <c r="AS62" s="7"/>
      <c r="AW62"/>
      <c r="AX62"/>
      <c r="AY62"/>
      <c r="AZ62"/>
      <c r="BA62"/>
      <c r="BB62"/>
      <c r="BC62"/>
      <c r="BD62"/>
      <c r="BE62"/>
      <c r="BF62"/>
      <c r="BG62"/>
      <c r="BH62"/>
    </row>
    <row r="63" spans="1:62" x14ac:dyDescent="0.3">
      <c r="A63" s="3">
        <v>2</v>
      </c>
      <c r="B63" s="2" t="s">
        <v>34</v>
      </c>
      <c r="C63" s="2" t="s">
        <v>23</v>
      </c>
      <c r="D63" s="2" t="s">
        <v>28</v>
      </c>
      <c r="E63" s="2">
        <v>-9.5</v>
      </c>
      <c r="F63" s="2">
        <v>134.5</v>
      </c>
      <c r="G63" s="2">
        <v>112.5</v>
      </c>
      <c r="H63" s="2">
        <v>175.3</v>
      </c>
      <c r="I63" s="2">
        <v>15500</v>
      </c>
      <c r="J63" s="2">
        <v>-393</v>
      </c>
      <c r="K63" s="2">
        <v>470.1</v>
      </c>
      <c r="L63" s="2">
        <v>612.70000000000005</v>
      </c>
      <c r="M63" s="2">
        <f t="shared" si="1"/>
        <v>381.5384615384616</v>
      </c>
      <c r="N63" s="2">
        <v>-865</v>
      </c>
      <c r="O63" s="2">
        <v>4.3999999999999997E-2</v>
      </c>
      <c r="AD63"/>
      <c r="AE63"/>
      <c r="AH63"/>
      <c r="AI63"/>
      <c r="AJ63"/>
      <c r="AK63"/>
      <c r="AL63"/>
      <c r="AM63"/>
      <c r="AN63"/>
      <c r="AO63"/>
      <c r="AP63"/>
      <c r="AQ63" s="7"/>
      <c r="AR63" s="7"/>
      <c r="AS63" s="7"/>
      <c r="AW63"/>
      <c r="AX63"/>
      <c r="AY63"/>
      <c r="AZ63"/>
      <c r="BA63"/>
      <c r="BC63"/>
      <c r="BD63"/>
      <c r="BE63"/>
      <c r="BF63"/>
      <c r="BG63"/>
      <c r="BH63"/>
    </row>
    <row r="64" spans="1:62" x14ac:dyDescent="0.3">
      <c r="A64" s="3">
        <v>2</v>
      </c>
      <c r="B64" s="2" t="s">
        <v>34</v>
      </c>
      <c r="C64" s="2" t="s">
        <v>23</v>
      </c>
      <c r="D64" s="2" t="s">
        <v>28</v>
      </c>
      <c r="E64" s="2">
        <v>-9.75</v>
      </c>
      <c r="F64" s="2">
        <v>37.97</v>
      </c>
      <c r="G64" s="2">
        <v>31.75</v>
      </c>
      <c r="H64" s="2">
        <v>49.5</v>
      </c>
      <c r="I64" s="2">
        <v>9727</v>
      </c>
      <c r="J64" s="2">
        <v>-243.1</v>
      </c>
      <c r="K64" s="2">
        <v>290.8</v>
      </c>
      <c r="L64" s="2">
        <v>379</v>
      </c>
      <c r="M64" s="2">
        <f t="shared" si="1"/>
        <v>934.80000000000018</v>
      </c>
      <c r="N64" s="2">
        <v>-832</v>
      </c>
      <c r="O64" s="2">
        <v>2.7E-2</v>
      </c>
      <c r="AD64"/>
      <c r="AE64"/>
      <c r="AH64"/>
      <c r="AI64"/>
      <c r="AJ64"/>
      <c r="AK64"/>
      <c r="AL64"/>
      <c r="AM64"/>
      <c r="AN64"/>
      <c r="AO64"/>
      <c r="AP64"/>
      <c r="AQ64" s="7"/>
      <c r="AR64" s="7"/>
      <c r="AS64" s="7"/>
      <c r="AW64"/>
      <c r="AX64"/>
      <c r="AY64"/>
      <c r="AZ64"/>
      <c r="BA64"/>
      <c r="BB64"/>
      <c r="BC64"/>
      <c r="BD64"/>
      <c r="BE64"/>
      <c r="BF64"/>
      <c r="BG64"/>
      <c r="BH64"/>
    </row>
    <row r="65" spans="1:60" x14ac:dyDescent="0.3">
      <c r="A65" s="3">
        <v>2</v>
      </c>
      <c r="B65" s="2" t="s">
        <v>34</v>
      </c>
      <c r="C65" s="2" t="s">
        <v>23</v>
      </c>
      <c r="D65" s="2" t="s">
        <v>28</v>
      </c>
      <c r="E65" s="2">
        <v>-10</v>
      </c>
      <c r="F65" s="2">
        <v>-0.77759999999999996</v>
      </c>
      <c r="G65" s="2">
        <v>-0.6512</v>
      </c>
      <c r="H65" s="2">
        <v>-1.014</v>
      </c>
      <c r="I65" s="2">
        <v>7309</v>
      </c>
      <c r="J65" s="2">
        <v>0</v>
      </c>
      <c r="K65" s="2">
        <v>0</v>
      </c>
      <c r="L65" s="2">
        <v>0</v>
      </c>
      <c r="M65" s="2">
        <f t="shared" si="1"/>
        <v>1516</v>
      </c>
      <c r="N65" s="2">
        <v>-798</v>
      </c>
      <c r="O65" s="2">
        <v>2.1000000000000001E-2</v>
      </c>
      <c r="AD65"/>
      <c r="AE65"/>
      <c r="AH65"/>
      <c r="AI65"/>
      <c r="AJ65"/>
      <c r="AK65"/>
      <c r="AL65"/>
      <c r="AM65"/>
      <c r="AN65"/>
      <c r="AO65"/>
      <c r="AP65"/>
      <c r="AQ65" s="7"/>
      <c r="AR65" s="7"/>
      <c r="AS65" s="7"/>
      <c r="AW65"/>
      <c r="AX65"/>
      <c r="AY65"/>
      <c r="AZ65"/>
      <c r="BA65"/>
      <c r="BB65"/>
      <c r="BC65"/>
      <c r="BD65"/>
      <c r="BE65"/>
      <c r="BF65"/>
      <c r="BG65"/>
      <c r="BH65"/>
    </row>
    <row r="66" spans="1:60" x14ac:dyDescent="0.3">
      <c r="A66" s="3">
        <v>3</v>
      </c>
      <c r="B66" s="2" t="s">
        <v>34</v>
      </c>
      <c r="C66" s="2" t="s">
        <v>23</v>
      </c>
      <c r="D66" s="2" t="s">
        <v>29</v>
      </c>
      <c r="E66" s="2">
        <v>1.24</v>
      </c>
      <c r="F66" s="2">
        <v>-3013</v>
      </c>
      <c r="G66" s="2">
        <v>-2527</v>
      </c>
      <c r="H66" s="2">
        <v>-3932</v>
      </c>
      <c r="I66" s="2">
        <v>183100</v>
      </c>
      <c r="J66" s="2">
        <v>426.2</v>
      </c>
      <c r="K66" s="2">
        <v>-509.9</v>
      </c>
      <c r="L66" s="2">
        <v>-664.6</v>
      </c>
      <c r="N66" s="2">
        <v>-1330</v>
      </c>
      <c r="O66" s="2">
        <v>0.51600000000000001</v>
      </c>
      <c r="S66" s="2">
        <v>3.25</v>
      </c>
      <c r="T66" s="2">
        <v>0</v>
      </c>
      <c r="U66" s="9">
        <v>-4.3482663200696901E-2</v>
      </c>
      <c r="V66" s="2">
        <v>0</v>
      </c>
      <c r="W66" s="2">
        <v>4019.4033281463899</v>
      </c>
      <c r="X66" s="2">
        <v>-686.99999945669299</v>
      </c>
      <c r="Z66" s="2">
        <v>1.2</v>
      </c>
      <c r="AA66" s="2">
        <v>-41.2003436010936</v>
      </c>
      <c r="AB66" s="2">
        <f>T66/0.9144</f>
        <v>0</v>
      </c>
      <c r="AC66" s="2">
        <f>-W66</f>
        <v>-4019.4033281463899</v>
      </c>
      <c r="AE66"/>
      <c r="AH66"/>
      <c r="AI66"/>
      <c r="AJ66"/>
      <c r="AK66"/>
      <c r="AL66"/>
      <c r="AM66"/>
      <c r="AN66"/>
      <c r="AO66"/>
      <c r="AP66"/>
      <c r="AQ66" s="7"/>
      <c r="AR66" s="7"/>
      <c r="AS66" s="7"/>
      <c r="AW66"/>
      <c r="AX66"/>
      <c r="AY66"/>
      <c r="AZ66"/>
      <c r="BA66"/>
      <c r="BB66"/>
      <c r="BC66"/>
      <c r="BD66"/>
      <c r="BE66"/>
      <c r="BF66"/>
      <c r="BG66"/>
      <c r="BH66"/>
    </row>
    <row r="67" spans="1:60" x14ac:dyDescent="0.3">
      <c r="A67" s="3">
        <v>3</v>
      </c>
      <c r="B67" s="2" t="s">
        <v>34</v>
      </c>
      <c r="C67" s="2" t="s">
        <v>23</v>
      </c>
      <c r="D67" s="2" t="s">
        <v>29</v>
      </c>
      <c r="E67" s="2">
        <v>0.83</v>
      </c>
      <c r="F67" s="2">
        <v>-2806</v>
      </c>
      <c r="G67" s="2">
        <v>-2354</v>
      </c>
      <c r="H67" s="2">
        <v>-3663</v>
      </c>
      <c r="I67" s="2">
        <v>171500</v>
      </c>
      <c r="J67" s="2">
        <v>426.2</v>
      </c>
      <c r="K67" s="2">
        <v>-509.9</v>
      </c>
      <c r="L67" s="2">
        <v>-664.6</v>
      </c>
      <c r="M67" s="2">
        <f>(L66-L67)/ABS(E67-E66)</f>
        <v>0</v>
      </c>
      <c r="N67" s="2">
        <v>-1340</v>
      </c>
      <c r="O67" s="2">
        <v>0.48299999999999998</v>
      </c>
      <c r="S67" s="2">
        <v>3.2</v>
      </c>
      <c r="T67" s="2">
        <v>0</v>
      </c>
      <c r="U67" s="9">
        <v>-4.34803897051965E-2</v>
      </c>
      <c r="V67" s="2">
        <v>0</v>
      </c>
      <c r="W67" s="2">
        <v>3985.0533281674202</v>
      </c>
      <c r="X67" s="2">
        <v>-686.99999970205602</v>
      </c>
      <c r="Z67" s="2">
        <v>1.0999999999999901</v>
      </c>
      <c r="AA67" s="2">
        <v>-41.191446643176498</v>
      </c>
      <c r="AB67" s="2">
        <f t="shared" ref="AB67:AB130" si="5">T67/0.9144</f>
        <v>0</v>
      </c>
      <c r="AC67" s="2">
        <f t="shared" ref="AC67:AC130" si="6">-W67</f>
        <v>-3985.0533281674202</v>
      </c>
      <c r="AD67" s="2">
        <f>(X66-X68)/(ABS(Z66-Z68))</f>
        <v>6.1345531321421435E-7</v>
      </c>
      <c r="AE67"/>
      <c r="AH67"/>
      <c r="AI67"/>
      <c r="AJ67"/>
      <c r="AK67"/>
      <c r="AL67"/>
      <c r="AM67"/>
      <c r="AN67"/>
      <c r="AO67"/>
      <c r="AP67"/>
      <c r="AQ67" s="7"/>
      <c r="AR67" s="7"/>
      <c r="AS67" s="7"/>
      <c r="AW67"/>
      <c r="AX67"/>
      <c r="AY67"/>
      <c r="AZ67"/>
      <c r="BA67"/>
      <c r="BB67"/>
      <c r="BC67"/>
      <c r="BD67"/>
      <c r="BE67"/>
      <c r="BF67"/>
      <c r="BG67"/>
      <c r="BH67"/>
    </row>
    <row r="68" spans="1:60" x14ac:dyDescent="0.3">
      <c r="A68" s="3">
        <v>3</v>
      </c>
      <c r="B68" s="2" t="s">
        <v>34</v>
      </c>
      <c r="C68" s="2" t="s">
        <v>23</v>
      </c>
      <c r="D68" s="2" t="s">
        <v>29</v>
      </c>
      <c r="E68" s="2">
        <v>0.43</v>
      </c>
      <c r="F68" s="2">
        <v>-2598</v>
      </c>
      <c r="G68" s="2">
        <v>-2181</v>
      </c>
      <c r="H68" s="2">
        <v>-3392</v>
      </c>
      <c r="I68" s="2">
        <v>159800</v>
      </c>
      <c r="J68" s="2">
        <v>426.2</v>
      </c>
      <c r="K68" s="2">
        <v>-509.9</v>
      </c>
      <c r="L68" s="2">
        <v>-664.6</v>
      </c>
      <c r="M68" s="2">
        <f t="shared" ref="M68:M96" si="7">(L67-L68)/ABS(E68-E67)</f>
        <v>0</v>
      </c>
      <c r="N68" s="2">
        <v>-1340</v>
      </c>
      <c r="O68" s="2">
        <v>0.45</v>
      </c>
      <c r="S68" s="2">
        <v>3.15</v>
      </c>
      <c r="T68" s="2">
        <v>0</v>
      </c>
      <c r="U68" s="9">
        <v>-4.3473608077483003E-2</v>
      </c>
      <c r="V68" s="2">
        <v>0</v>
      </c>
      <c r="W68" s="2">
        <v>3950.7033281761901</v>
      </c>
      <c r="X68" s="2">
        <v>-686.99999957938405</v>
      </c>
      <c r="Z68" s="2">
        <v>0.999999999999999</v>
      </c>
      <c r="AA68" s="2">
        <v>-41.1650666397272</v>
      </c>
      <c r="AB68" s="2">
        <f t="shared" si="5"/>
        <v>0</v>
      </c>
      <c r="AC68" s="2">
        <f t="shared" si="6"/>
        <v>-3950.7033281761901</v>
      </c>
      <c r="AD68" s="2">
        <f t="shared" ref="AD68:AD131" si="8">(X67-X69)/(ABS(Z67-Z69))</f>
        <v>-3.6802703107243184E-6</v>
      </c>
      <c r="AE68"/>
      <c r="AH68"/>
      <c r="AI68"/>
      <c r="AJ68"/>
      <c r="AK68"/>
      <c r="AL68"/>
      <c r="AM68"/>
      <c r="AN68"/>
      <c r="AO68"/>
      <c r="AP68"/>
      <c r="AQ68" s="7"/>
      <c r="AR68" s="7"/>
      <c r="AS68" s="7"/>
      <c r="AV68" s="7"/>
      <c r="AW68"/>
      <c r="AX68"/>
      <c r="AY68"/>
      <c r="AZ68"/>
      <c r="BA68"/>
      <c r="BB68"/>
      <c r="BC68"/>
      <c r="BD68"/>
      <c r="BE68"/>
      <c r="BF68"/>
      <c r="BG68"/>
      <c r="BH68"/>
    </row>
    <row r="69" spans="1:60" x14ac:dyDescent="0.3">
      <c r="A69" s="3">
        <v>3</v>
      </c>
      <c r="B69" s="2" t="s">
        <v>34</v>
      </c>
      <c r="C69" s="2" t="s">
        <v>23</v>
      </c>
      <c r="D69" s="2" t="s">
        <v>29</v>
      </c>
      <c r="E69" s="2">
        <v>0.02</v>
      </c>
      <c r="F69" s="2">
        <v>-2391</v>
      </c>
      <c r="G69" s="2">
        <v>-2008</v>
      </c>
      <c r="H69" s="2">
        <v>-3122</v>
      </c>
      <c r="I69" s="2">
        <v>148000</v>
      </c>
      <c r="J69" s="2">
        <v>426.2</v>
      </c>
      <c r="K69" s="2">
        <v>-509.9</v>
      </c>
      <c r="L69" s="2">
        <v>-664.6</v>
      </c>
      <c r="M69" s="2">
        <f t="shared" si="7"/>
        <v>0</v>
      </c>
      <c r="N69" s="2">
        <v>-1340</v>
      </c>
      <c r="O69" s="2">
        <v>0.41699999999999998</v>
      </c>
      <c r="S69" s="2">
        <v>3.1</v>
      </c>
      <c r="T69" s="2">
        <v>0</v>
      </c>
      <c r="U69" s="9">
        <v>-4.3462357176344203E-2</v>
      </c>
      <c r="V69" s="2">
        <v>0</v>
      </c>
      <c r="W69" s="2">
        <v>3916.35332820948</v>
      </c>
      <c r="X69" s="2">
        <v>-686.99999896600195</v>
      </c>
      <c r="Z69" s="2">
        <v>0.89999999999999902</v>
      </c>
      <c r="AA69" s="2">
        <v>-41.121514461047902</v>
      </c>
      <c r="AB69" s="2">
        <f t="shared" si="5"/>
        <v>0</v>
      </c>
      <c r="AC69" s="2">
        <f t="shared" si="6"/>
        <v>-3916.35332820948</v>
      </c>
      <c r="AD69" s="2">
        <f t="shared" si="8"/>
        <v>-7.9739049851923499E-6</v>
      </c>
      <c r="AE69"/>
      <c r="AH69"/>
      <c r="AI69"/>
      <c r="AJ69"/>
      <c r="AK69"/>
      <c r="AL69"/>
      <c r="AM69"/>
      <c r="AN69"/>
      <c r="AO69"/>
      <c r="AP69"/>
      <c r="AQ69" s="7"/>
      <c r="AR69" s="7"/>
      <c r="AS69" s="7"/>
      <c r="AV69" s="7"/>
      <c r="AW69"/>
      <c r="AX69"/>
      <c r="AY69"/>
      <c r="AZ69"/>
      <c r="BA69"/>
      <c r="BB69"/>
      <c r="BC69"/>
      <c r="BD69"/>
      <c r="BE69"/>
      <c r="BF69"/>
      <c r="BG69"/>
      <c r="BH69"/>
    </row>
    <row r="70" spans="1:60" x14ac:dyDescent="0.3">
      <c r="A70" s="3">
        <v>3</v>
      </c>
      <c r="B70" s="2" t="s">
        <v>34</v>
      </c>
      <c r="C70" s="2" t="s">
        <v>23</v>
      </c>
      <c r="D70" s="2" t="s">
        <v>29</v>
      </c>
      <c r="E70" s="2">
        <v>-0.38</v>
      </c>
      <c r="F70" s="2">
        <v>-2183</v>
      </c>
      <c r="G70" s="2">
        <v>-1834</v>
      </c>
      <c r="H70" s="2">
        <v>-2851</v>
      </c>
      <c r="I70" s="2">
        <v>136300</v>
      </c>
      <c r="J70" s="2">
        <v>426.2</v>
      </c>
      <c r="K70" s="2">
        <v>-509.9</v>
      </c>
      <c r="L70" s="2">
        <v>-664.6</v>
      </c>
      <c r="M70" s="2">
        <f t="shared" si="7"/>
        <v>0</v>
      </c>
      <c r="N70" s="2">
        <v>-1340</v>
      </c>
      <c r="O70" s="2">
        <v>0.38400000000000001</v>
      </c>
      <c r="S70" s="2">
        <v>3.05</v>
      </c>
      <c r="T70" s="2">
        <v>0</v>
      </c>
      <c r="U70" s="9">
        <v>-4.3446675860567802E-2</v>
      </c>
      <c r="V70" s="2">
        <v>0</v>
      </c>
      <c r="W70" s="2">
        <v>3882.0033282795898</v>
      </c>
      <c r="X70" s="2">
        <v>-686.99999798460306</v>
      </c>
      <c r="Z70" s="2">
        <v>0.79999999999999905</v>
      </c>
      <c r="AA70" s="2">
        <v>-41.061100977440702</v>
      </c>
      <c r="AB70" s="2">
        <f t="shared" si="5"/>
        <v>0</v>
      </c>
      <c r="AC70" s="2">
        <f t="shared" si="6"/>
        <v>-3882.0033282795898</v>
      </c>
      <c r="AD70" s="2">
        <f t="shared" si="8"/>
        <v>-7.9738799740880461E-6</v>
      </c>
      <c r="AE70"/>
      <c r="AH70"/>
      <c r="AI70"/>
      <c r="AJ70"/>
      <c r="AK70"/>
      <c r="AL70"/>
      <c r="AM70"/>
      <c r="AN70"/>
      <c r="AO70"/>
      <c r="AP70"/>
      <c r="AQ70" s="7"/>
      <c r="AR70" s="7"/>
      <c r="AS70" s="7"/>
      <c r="AW70"/>
      <c r="AX70"/>
      <c r="AY70"/>
      <c r="AZ70"/>
      <c r="BA70"/>
      <c r="BB70"/>
      <c r="BC70"/>
      <c r="BD70"/>
      <c r="BE70"/>
      <c r="BF70"/>
      <c r="BG70"/>
      <c r="BH70"/>
    </row>
    <row r="71" spans="1:60" x14ac:dyDescent="0.3">
      <c r="A71" s="3">
        <v>3</v>
      </c>
      <c r="B71" s="2" t="s">
        <v>34</v>
      </c>
      <c r="C71" s="2" t="s">
        <v>23</v>
      </c>
      <c r="D71" s="2" t="s">
        <v>29</v>
      </c>
      <c r="E71" s="2">
        <v>-0.79</v>
      </c>
      <c r="F71" s="2">
        <v>-1975</v>
      </c>
      <c r="G71" s="2">
        <v>-1661</v>
      </c>
      <c r="H71" s="2">
        <v>-2581</v>
      </c>
      <c r="I71" s="2">
        <v>124600</v>
      </c>
      <c r="J71" s="2">
        <v>426.2</v>
      </c>
      <c r="K71" s="2">
        <v>-509.9</v>
      </c>
      <c r="L71" s="2">
        <v>-664.6</v>
      </c>
      <c r="M71" s="2">
        <f t="shared" si="7"/>
        <v>0</v>
      </c>
      <c r="N71" s="2">
        <v>-1350</v>
      </c>
      <c r="O71" s="2">
        <v>0.35099999999999998</v>
      </c>
      <c r="S71" s="2">
        <v>3</v>
      </c>
      <c r="T71" s="2">
        <v>0</v>
      </c>
      <c r="U71" s="9">
        <v>-4.34266029889415E-2</v>
      </c>
      <c r="V71" s="2">
        <v>0</v>
      </c>
      <c r="W71" s="2">
        <v>3847.6533284110201</v>
      </c>
      <c r="X71" s="2">
        <v>-686.99999737122596</v>
      </c>
      <c r="Z71" s="2">
        <v>0.69999999999999896</v>
      </c>
      <c r="AA71" s="2">
        <v>-40.984137059207697</v>
      </c>
      <c r="AB71" s="2">
        <f t="shared" si="5"/>
        <v>0</v>
      </c>
      <c r="AC71" s="2">
        <f t="shared" si="6"/>
        <v>-3847.6533284110201</v>
      </c>
      <c r="AD71" s="2">
        <f t="shared" si="8"/>
        <v>-5.5204304771905282E-6</v>
      </c>
      <c r="AE71"/>
      <c r="AH71"/>
      <c r="AI71"/>
      <c r="AJ71"/>
      <c r="AK71"/>
      <c r="AL71"/>
      <c r="AM71"/>
      <c r="AN71"/>
      <c r="AO71"/>
      <c r="AP71"/>
      <c r="AQ71" s="7"/>
      <c r="AR71" s="7"/>
      <c r="AS71" s="7"/>
      <c r="AW71"/>
      <c r="AX71"/>
      <c r="AY71"/>
      <c r="AZ71"/>
      <c r="BA71"/>
      <c r="BB71"/>
      <c r="BC71"/>
      <c r="BD71"/>
      <c r="BE71"/>
      <c r="BF71"/>
      <c r="BG71"/>
      <c r="BH71"/>
    </row>
    <row r="72" spans="1:60" x14ac:dyDescent="0.3">
      <c r="A72" s="3">
        <v>3</v>
      </c>
      <c r="B72" s="2" t="s">
        <v>34</v>
      </c>
      <c r="C72" s="2" t="s">
        <v>23</v>
      </c>
      <c r="D72" s="2" t="s">
        <v>29</v>
      </c>
      <c r="E72" s="2">
        <v>-1.19</v>
      </c>
      <c r="F72" s="2">
        <v>-1767</v>
      </c>
      <c r="G72" s="2">
        <v>-1487</v>
      </c>
      <c r="H72" s="2">
        <v>-2309</v>
      </c>
      <c r="I72" s="2">
        <v>112800</v>
      </c>
      <c r="J72" s="2">
        <v>426.2</v>
      </c>
      <c r="K72" s="2">
        <v>-509.9</v>
      </c>
      <c r="L72" s="2">
        <v>-664.6</v>
      </c>
      <c r="M72" s="2">
        <f t="shared" si="7"/>
        <v>0</v>
      </c>
      <c r="N72" s="2">
        <v>-1350</v>
      </c>
      <c r="O72" s="2">
        <v>0.318</v>
      </c>
      <c r="S72" s="2">
        <v>2.95</v>
      </c>
      <c r="T72" s="2">
        <v>0</v>
      </c>
      <c r="U72" s="9">
        <v>-4.3402177420252999E-2</v>
      </c>
      <c r="V72" s="2">
        <v>0</v>
      </c>
      <c r="W72" s="2">
        <v>3813.3033285424599</v>
      </c>
      <c r="X72" s="2">
        <v>-686.99999688051696</v>
      </c>
      <c r="Z72" s="2">
        <v>0.59999999999999898</v>
      </c>
      <c r="AA72" s="2">
        <v>-40.890933576650703</v>
      </c>
      <c r="AB72" s="2">
        <f t="shared" si="5"/>
        <v>0</v>
      </c>
      <c r="AC72" s="2">
        <f t="shared" si="6"/>
        <v>-3813.3033285424599</v>
      </c>
      <c r="AD72" s="2">
        <f t="shared" si="8"/>
        <v>-4.9070399654738148E-6</v>
      </c>
      <c r="AE72"/>
      <c r="AH72"/>
      <c r="AI72"/>
      <c r="AJ72"/>
      <c r="AK72"/>
      <c r="AL72"/>
      <c r="AM72"/>
      <c r="AN72"/>
      <c r="AO72"/>
      <c r="AP72"/>
      <c r="AQ72" s="7"/>
      <c r="AR72" s="7"/>
      <c r="AS72" s="7"/>
      <c r="AW72"/>
      <c r="AX72"/>
      <c r="AY72"/>
      <c r="AZ72"/>
      <c r="BA72"/>
      <c r="BB72"/>
      <c r="BC72"/>
      <c r="BD72"/>
      <c r="BE72"/>
      <c r="BF72"/>
      <c r="BG72"/>
      <c r="BH72"/>
    </row>
    <row r="73" spans="1:60" x14ac:dyDescent="0.3">
      <c r="A73" s="3">
        <v>3</v>
      </c>
      <c r="B73" s="2" t="s">
        <v>34</v>
      </c>
      <c r="C73" s="2" t="s">
        <v>23</v>
      </c>
      <c r="D73" s="2" t="s">
        <v>29</v>
      </c>
      <c r="E73" s="2">
        <v>-1.6</v>
      </c>
      <c r="F73" s="2">
        <v>-1559</v>
      </c>
      <c r="G73" s="2">
        <v>-1313</v>
      </c>
      <c r="H73" s="2">
        <v>-2038</v>
      </c>
      <c r="I73" s="2">
        <v>101000</v>
      </c>
      <c r="J73" s="2">
        <v>426.2</v>
      </c>
      <c r="K73" s="2">
        <v>-509.9</v>
      </c>
      <c r="L73" s="2">
        <v>-664.6</v>
      </c>
      <c r="M73" s="2">
        <f t="shared" si="7"/>
        <v>0</v>
      </c>
      <c r="N73" s="2">
        <v>-1350</v>
      </c>
      <c r="O73" s="2">
        <v>0.28499999999999998</v>
      </c>
      <c r="S73" s="2">
        <v>2.9</v>
      </c>
      <c r="T73" s="2">
        <v>0</v>
      </c>
      <c r="U73" s="9">
        <v>-4.3373438013289703E-2</v>
      </c>
      <c r="V73" s="2">
        <v>0</v>
      </c>
      <c r="W73" s="2">
        <v>3778.9533287229701</v>
      </c>
      <c r="X73" s="2">
        <v>-686.99999638981797</v>
      </c>
      <c r="Z73" s="2">
        <v>0.499999999999999</v>
      </c>
      <c r="AA73" s="2">
        <v>-40.781801400071899</v>
      </c>
      <c r="AB73" s="2">
        <f t="shared" si="5"/>
        <v>0</v>
      </c>
      <c r="AC73" s="2">
        <f t="shared" si="6"/>
        <v>-3778.9533287229701</v>
      </c>
      <c r="AD73" s="2">
        <f t="shared" si="8"/>
        <v>-3.3735398119461033E-6</v>
      </c>
      <c r="AE73"/>
      <c r="AH73"/>
      <c r="AI73"/>
      <c r="AJ73"/>
      <c r="AK73"/>
      <c r="AL73"/>
      <c r="AM73"/>
      <c r="AN73"/>
      <c r="AO73"/>
      <c r="AP73"/>
      <c r="AQ73" s="7"/>
      <c r="AR73" s="7"/>
      <c r="AS73" s="7"/>
      <c r="AW73"/>
      <c r="AX73"/>
      <c r="AY73"/>
      <c r="AZ73"/>
      <c r="BA73"/>
      <c r="BB73"/>
      <c r="BC73"/>
      <c r="BD73"/>
      <c r="BE73"/>
      <c r="BF73"/>
      <c r="BG73"/>
      <c r="BH73"/>
    </row>
    <row r="74" spans="1:60" x14ac:dyDescent="0.3">
      <c r="A74" s="3">
        <v>3</v>
      </c>
      <c r="B74" s="2" t="s">
        <v>34</v>
      </c>
      <c r="C74" s="2" t="s">
        <v>23</v>
      </c>
      <c r="D74" s="2" t="s">
        <v>29</v>
      </c>
      <c r="E74" s="2">
        <v>-2</v>
      </c>
      <c r="F74" s="2">
        <v>-1351</v>
      </c>
      <c r="G74" s="2">
        <v>-1138</v>
      </c>
      <c r="H74" s="2">
        <v>-1766</v>
      </c>
      <c r="I74" s="2">
        <v>89270</v>
      </c>
      <c r="J74" s="2">
        <v>426.2</v>
      </c>
      <c r="K74" s="2">
        <v>-509.9</v>
      </c>
      <c r="L74" s="2">
        <v>-664.6</v>
      </c>
      <c r="M74" s="2">
        <f t="shared" si="7"/>
        <v>0</v>
      </c>
      <c r="N74" s="2">
        <v>-1360</v>
      </c>
      <c r="O74" s="2">
        <v>0.251</v>
      </c>
      <c r="S74" s="2">
        <v>2.85</v>
      </c>
      <c r="T74" s="2">
        <v>0</v>
      </c>
      <c r="U74" s="9">
        <v>-4.3340423626839403E-2</v>
      </c>
      <c r="V74" s="2">
        <v>0</v>
      </c>
      <c r="W74" s="2">
        <v>3744.6033289034799</v>
      </c>
      <c r="X74" s="2">
        <v>-686.999996205809</v>
      </c>
      <c r="Z74" s="2">
        <v>0.39999999999999902</v>
      </c>
      <c r="AA74" s="2">
        <v>-40.657051399773103</v>
      </c>
      <c r="AB74" s="2">
        <f t="shared" si="5"/>
        <v>0</v>
      </c>
      <c r="AC74" s="2">
        <f t="shared" si="6"/>
        <v>-3744.6033289034799</v>
      </c>
      <c r="AD74" s="2">
        <f t="shared" si="8"/>
        <v>-1.8401146917312872E-6</v>
      </c>
      <c r="AE74"/>
      <c r="AH74"/>
      <c r="AI74"/>
      <c r="AJ74"/>
      <c r="AK74"/>
      <c r="AL74"/>
      <c r="AM74"/>
      <c r="AN74"/>
      <c r="AO74"/>
      <c r="AP74"/>
      <c r="AQ74" s="7"/>
      <c r="AR74" s="7"/>
      <c r="AS74" s="7"/>
      <c r="AW74"/>
      <c r="AX74"/>
      <c r="AY74"/>
      <c r="AZ74"/>
      <c r="BA74"/>
      <c r="BB74"/>
      <c r="BC74"/>
      <c r="BD74"/>
      <c r="BE74"/>
      <c r="BF74"/>
      <c r="BG74"/>
      <c r="BH74"/>
    </row>
    <row r="75" spans="1:60" x14ac:dyDescent="0.3">
      <c r="A75" s="3">
        <v>3</v>
      </c>
      <c r="B75" s="2" t="s">
        <v>34</v>
      </c>
      <c r="C75" s="2" t="s">
        <v>23</v>
      </c>
      <c r="D75" s="2" t="s">
        <v>29</v>
      </c>
      <c r="E75" s="2">
        <v>-2.35</v>
      </c>
      <c r="F75" s="2">
        <v>-1171</v>
      </c>
      <c r="G75" s="2">
        <v>-988.2</v>
      </c>
      <c r="H75" s="2">
        <v>-1532</v>
      </c>
      <c r="I75" s="2">
        <v>79100</v>
      </c>
      <c r="J75" s="2">
        <v>422</v>
      </c>
      <c r="K75" s="2">
        <v>-504.9</v>
      </c>
      <c r="L75" s="2">
        <v>-658</v>
      </c>
      <c r="M75" s="2">
        <f t="shared" si="7"/>
        <v>-18.857142857142918</v>
      </c>
      <c r="N75" s="2">
        <v>-1360</v>
      </c>
      <c r="O75" s="2">
        <v>0.223</v>
      </c>
      <c r="S75" s="2">
        <v>2.8</v>
      </c>
      <c r="T75" s="2">
        <v>0</v>
      </c>
      <c r="U75" s="9">
        <v>-4.3303173119689502E-2</v>
      </c>
      <c r="V75" s="2">
        <v>0</v>
      </c>
      <c r="W75" s="2">
        <v>3710.2533291023901</v>
      </c>
      <c r="X75" s="2">
        <v>-686.99999602179503</v>
      </c>
      <c r="Z75" s="2">
        <v>0.29999999999999899</v>
      </c>
      <c r="AA75" s="2">
        <v>-40.516994446056302</v>
      </c>
      <c r="AB75" s="2">
        <f t="shared" si="5"/>
        <v>0</v>
      </c>
      <c r="AC75" s="2">
        <f t="shared" si="6"/>
        <v>-3710.2533291023901</v>
      </c>
      <c r="AD75" s="2">
        <f t="shared" si="8"/>
        <v>-1.5334552472268115E-6</v>
      </c>
      <c r="AE75"/>
      <c r="AH75"/>
      <c r="AI75"/>
      <c r="AJ75"/>
      <c r="AK75"/>
      <c r="AL75"/>
      <c r="AM75"/>
      <c r="AN75"/>
      <c r="AO75"/>
      <c r="AP75"/>
      <c r="AQ75" s="7"/>
      <c r="AR75" s="7"/>
      <c r="AS75" s="7"/>
      <c r="AW75"/>
      <c r="AX75"/>
      <c r="AY75"/>
      <c r="AZ75"/>
      <c r="BA75"/>
      <c r="BB75"/>
      <c r="BC75"/>
      <c r="BD75"/>
      <c r="BE75"/>
      <c r="BF75"/>
      <c r="BG75"/>
      <c r="BH75"/>
    </row>
    <row r="76" spans="1:60" x14ac:dyDescent="0.3">
      <c r="A76" s="3">
        <v>3</v>
      </c>
      <c r="B76" s="2" t="s">
        <v>34</v>
      </c>
      <c r="C76" s="2" t="s">
        <v>23</v>
      </c>
      <c r="D76" s="2" t="s">
        <v>29</v>
      </c>
      <c r="E76" s="2">
        <v>-2.7</v>
      </c>
      <c r="F76" s="2">
        <v>-994.8</v>
      </c>
      <c r="G76" s="2">
        <v>-841</v>
      </c>
      <c r="H76" s="2">
        <v>-1303</v>
      </c>
      <c r="I76" s="2">
        <v>69120</v>
      </c>
      <c r="J76" s="2">
        <v>408.6</v>
      </c>
      <c r="K76" s="2">
        <v>-488.7</v>
      </c>
      <c r="L76" s="2">
        <v>-637</v>
      </c>
      <c r="M76" s="2">
        <f t="shared" si="7"/>
        <v>-59.999999999999986</v>
      </c>
      <c r="N76" s="2">
        <v>-1360</v>
      </c>
      <c r="O76" s="2">
        <v>0.19500000000000001</v>
      </c>
      <c r="S76" s="2">
        <v>2.75</v>
      </c>
      <c r="T76" s="2">
        <v>0</v>
      </c>
      <c r="U76" s="9">
        <v>-4.3261725350627597E-2</v>
      </c>
      <c r="V76" s="2">
        <v>0</v>
      </c>
      <c r="W76" s="2">
        <v>3675.9033293012999</v>
      </c>
      <c r="X76" s="2">
        <v>-686.99999589911795</v>
      </c>
      <c r="Z76" s="2">
        <v>0.19999999999999901</v>
      </c>
      <c r="AA76" s="2">
        <v>-40.361941409223299</v>
      </c>
      <c r="AB76" s="2">
        <f t="shared" si="5"/>
        <v>0</v>
      </c>
      <c r="AC76" s="2">
        <f t="shared" si="6"/>
        <v>-3675.9033293012999</v>
      </c>
      <c r="AD76" s="2">
        <f t="shared" si="8"/>
        <v>-3.3735904025888868E-6</v>
      </c>
      <c r="AE76"/>
      <c r="AH76"/>
      <c r="AI76"/>
      <c r="AJ76"/>
      <c r="AK76"/>
      <c r="AL76"/>
      <c r="AM76"/>
      <c r="AN76"/>
      <c r="AO76"/>
      <c r="AP76"/>
      <c r="AQ76" s="7"/>
      <c r="AR76" s="7"/>
      <c r="AS76" s="7"/>
      <c r="AW76"/>
      <c r="AX76"/>
      <c r="AY76"/>
      <c r="AZ76"/>
      <c r="BA76"/>
      <c r="BB76"/>
      <c r="BC76"/>
      <c r="BD76"/>
      <c r="BE76"/>
      <c r="BF76"/>
      <c r="BG76"/>
      <c r="BH76"/>
    </row>
    <row r="77" spans="1:60" x14ac:dyDescent="0.3">
      <c r="A77" s="3">
        <v>3</v>
      </c>
      <c r="B77" s="2" t="s">
        <v>34</v>
      </c>
      <c r="C77" s="2" t="s">
        <v>23</v>
      </c>
      <c r="D77" s="2" t="s">
        <v>29</v>
      </c>
      <c r="E77" s="2">
        <v>-2.97</v>
      </c>
      <c r="F77" s="2">
        <v>-863.5</v>
      </c>
      <c r="G77" s="2">
        <v>-731.3</v>
      </c>
      <c r="H77" s="2">
        <v>-1132</v>
      </c>
      <c r="I77" s="2">
        <v>61640</v>
      </c>
      <c r="J77" s="2">
        <v>395.5</v>
      </c>
      <c r="K77" s="2">
        <v>-473</v>
      </c>
      <c r="L77" s="2">
        <v>-616.6</v>
      </c>
      <c r="M77" s="2">
        <f t="shared" si="7"/>
        <v>-75.555555555555472</v>
      </c>
      <c r="N77" s="2">
        <v>-1360</v>
      </c>
      <c r="O77" s="2">
        <v>0.17399999999999999</v>
      </c>
      <c r="S77" s="2">
        <v>2.7</v>
      </c>
      <c r="T77" s="2">
        <v>0</v>
      </c>
      <c r="U77" s="9">
        <v>-4.3216119178441301E-2</v>
      </c>
      <c r="V77" s="2">
        <v>0</v>
      </c>
      <c r="W77" s="2">
        <v>3641.5533295124801</v>
      </c>
      <c r="X77" s="2">
        <v>-686.99999534707695</v>
      </c>
      <c r="Z77" s="2">
        <v>9.9999999999998895E-2</v>
      </c>
      <c r="AA77" s="2">
        <v>-40.192203159576202</v>
      </c>
      <c r="AB77" s="2">
        <f t="shared" si="5"/>
        <v>0</v>
      </c>
      <c r="AC77" s="2">
        <f t="shared" si="6"/>
        <v>-3641.5533295124801</v>
      </c>
      <c r="AD77" s="2">
        <f t="shared" si="8"/>
        <v>-3.3735648230503991E-6</v>
      </c>
      <c r="AE77"/>
    </row>
    <row r="78" spans="1:60" x14ac:dyDescent="0.3">
      <c r="A78" s="3">
        <v>3</v>
      </c>
      <c r="B78" s="2" t="s">
        <v>34</v>
      </c>
      <c r="C78" s="2" t="s">
        <v>23</v>
      </c>
      <c r="D78" s="2" t="s">
        <v>29</v>
      </c>
      <c r="E78" s="2">
        <v>-3.24</v>
      </c>
      <c r="F78" s="2">
        <v>-736.3</v>
      </c>
      <c r="G78" s="2">
        <v>-624.9</v>
      </c>
      <c r="H78" s="2">
        <v>-965.7</v>
      </c>
      <c r="I78" s="2">
        <v>54380</v>
      </c>
      <c r="J78" s="2">
        <v>382.9</v>
      </c>
      <c r="K78" s="2">
        <v>-457.8</v>
      </c>
      <c r="L78" s="2">
        <v>-596.79999999999995</v>
      </c>
      <c r="M78" s="2">
        <f t="shared" si="7"/>
        <v>-73.333333333333584</v>
      </c>
      <c r="N78" s="2">
        <v>-1350</v>
      </c>
      <c r="O78" s="2">
        <v>0.153</v>
      </c>
      <c r="S78" s="2">
        <v>2.65</v>
      </c>
      <c r="T78" s="2">
        <v>0</v>
      </c>
      <c r="U78" s="9">
        <v>-4.3166393461918098E-2</v>
      </c>
      <c r="V78" s="2">
        <v>0</v>
      </c>
      <c r="W78" s="2">
        <v>3607.2033297665898</v>
      </c>
      <c r="X78" s="2">
        <v>-686.99999522440498</v>
      </c>
      <c r="Z78" s="2">
        <v>-1.11022302462515E-15</v>
      </c>
      <c r="AA78" s="2">
        <v>-40.008090567416801</v>
      </c>
      <c r="AB78" s="2">
        <f t="shared" si="5"/>
        <v>0</v>
      </c>
      <c r="AC78" s="2">
        <f t="shared" si="6"/>
        <v>-3607.2033297665898</v>
      </c>
      <c r="AD78" s="2">
        <f t="shared" si="8"/>
        <v>-2.1468144950631553E-6</v>
      </c>
      <c r="AE78"/>
    </row>
    <row r="79" spans="1:60" x14ac:dyDescent="0.3">
      <c r="A79" s="3">
        <v>3</v>
      </c>
      <c r="B79" s="2" t="s">
        <v>34</v>
      </c>
      <c r="C79" s="2" t="s">
        <v>23</v>
      </c>
      <c r="D79" s="2" t="s">
        <v>29</v>
      </c>
      <c r="E79" s="2">
        <v>-3.59</v>
      </c>
      <c r="F79" s="2">
        <v>-577.79999999999995</v>
      </c>
      <c r="G79" s="2">
        <v>-492.3</v>
      </c>
      <c r="H79" s="2">
        <v>-759.1</v>
      </c>
      <c r="I79" s="2">
        <v>45340</v>
      </c>
      <c r="J79" s="2">
        <v>364.5</v>
      </c>
      <c r="K79" s="2">
        <v>-435.7</v>
      </c>
      <c r="L79" s="2">
        <v>-568.1</v>
      </c>
      <c r="M79" s="2">
        <f t="shared" si="7"/>
        <v>-81.999999999999886</v>
      </c>
      <c r="N79" s="2">
        <v>-1340</v>
      </c>
      <c r="O79" s="2">
        <v>0.128</v>
      </c>
      <c r="S79" s="2">
        <v>2.6</v>
      </c>
      <c r="T79" s="2">
        <v>0</v>
      </c>
      <c r="U79" s="9">
        <v>-4.31125870598454E-2</v>
      </c>
      <c r="V79" s="2">
        <v>0</v>
      </c>
      <c r="W79" s="2">
        <v>3572.85332999004</v>
      </c>
      <c r="X79" s="2">
        <v>-686.99999491771405</v>
      </c>
      <c r="Z79" s="2">
        <v>-0.100000000000001</v>
      </c>
      <c r="AA79" s="2">
        <v>-39.809914503046997</v>
      </c>
      <c r="AB79" s="2">
        <f t="shared" si="5"/>
        <v>0</v>
      </c>
      <c r="AC79" s="2">
        <f t="shared" si="6"/>
        <v>-3572.85332999004</v>
      </c>
      <c r="AD79" s="2">
        <f t="shared" si="8"/>
        <v>-5.5204299087563439E-6</v>
      </c>
      <c r="AE79"/>
    </row>
    <row r="80" spans="1:60" x14ac:dyDescent="0.3">
      <c r="A80" s="3">
        <v>3</v>
      </c>
      <c r="B80" s="2" t="s">
        <v>34</v>
      </c>
      <c r="C80" s="2" t="s">
        <v>23</v>
      </c>
      <c r="D80" s="2" t="s">
        <v>29</v>
      </c>
      <c r="E80" s="2">
        <v>-3.94</v>
      </c>
      <c r="F80" s="2">
        <v>-427.6</v>
      </c>
      <c r="G80" s="2">
        <v>-366.6</v>
      </c>
      <c r="H80" s="2">
        <v>-563.20000000000005</v>
      </c>
      <c r="I80" s="2">
        <v>36730</v>
      </c>
      <c r="J80" s="2">
        <v>343.8</v>
      </c>
      <c r="K80" s="2">
        <v>-410.7</v>
      </c>
      <c r="L80" s="2">
        <v>-535.6</v>
      </c>
      <c r="M80" s="2">
        <f t="shared" si="7"/>
        <v>-92.857142857142833</v>
      </c>
      <c r="N80" s="2">
        <v>-1330</v>
      </c>
      <c r="O80" s="2">
        <v>0.10299999999999999</v>
      </c>
      <c r="S80" s="2">
        <v>2.5499999999999998</v>
      </c>
      <c r="T80" s="2">
        <v>0</v>
      </c>
      <c r="U80" s="9">
        <v>-4.30547388310107E-2</v>
      </c>
      <c r="V80" s="2">
        <v>0</v>
      </c>
      <c r="W80" s="2">
        <v>3538.5033302748202</v>
      </c>
      <c r="X80" s="2">
        <v>-686.999994120319</v>
      </c>
      <c r="Z80" s="2">
        <v>-0.20000000000000101</v>
      </c>
      <c r="AA80" s="2">
        <v>-39.5979858367687</v>
      </c>
      <c r="AB80" s="2">
        <f t="shared" si="5"/>
        <v>0</v>
      </c>
      <c r="AC80" s="2">
        <f t="shared" si="6"/>
        <v>-3538.5033302748202</v>
      </c>
      <c r="AD80" s="2">
        <f t="shared" si="8"/>
        <v>-4.6003401621419471E-6</v>
      </c>
      <c r="AE80"/>
    </row>
    <row r="81" spans="1:31" x14ac:dyDescent="0.3">
      <c r="A81" s="3">
        <v>3</v>
      </c>
      <c r="B81" s="2" t="s">
        <v>34</v>
      </c>
      <c r="C81" s="2" t="s">
        <v>23</v>
      </c>
      <c r="D81" s="2" t="s">
        <v>29</v>
      </c>
      <c r="E81" s="2">
        <v>-4.29</v>
      </c>
      <c r="F81" s="2">
        <v>-285.3</v>
      </c>
      <c r="G81" s="2">
        <v>-247.5</v>
      </c>
      <c r="H81" s="2">
        <v>-377.7</v>
      </c>
      <c r="I81" s="2">
        <v>28550</v>
      </c>
      <c r="J81" s="2">
        <v>320.5</v>
      </c>
      <c r="K81" s="2">
        <v>-382.7</v>
      </c>
      <c r="L81" s="2">
        <v>-499.2</v>
      </c>
      <c r="M81" s="2">
        <f t="shared" si="7"/>
        <v>-104.00000000000007</v>
      </c>
      <c r="N81" s="2">
        <v>-1320</v>
      </c>
      <c r="O81" s="2">
        <v>0.08</v>
      </c>
      <c r="S81" s="2">
        <v>2.5</v>
      </c>
      <c r="T81" s="2">
        <v>0</v>
      </c>
      <c r="U81" s="9">
        <v>-4.2992887634201601E-2</v>
      </c>
      <c r="V81" s="2">
        <v>0</v>
      </c>
      <c r="W81" s="2">
        <v>3504.1533305780099</v>
      </c>
      <c r="X81" s="2">
        <v>-686.99999399764602</v>
      </c>
      <c r="Z81" s="2">
        <v>-0.30000000000000099</v>
      </c>
      <c r="AA81" s="2">
        <v>-39.372615438883699</v>
      </c>
      <c r="AB81" s="2">
        <f t="shared" si="5"/>
        <v>0</v>
      </c>
      <c r="AC81" s="2">
        <f t="shared" si="6"/>
        <v>-3504.1533305780099</v>
      </c>
      <c r="AD81" s="2">
        <f t="shared" si="8"/>
        <v>-9.2001982920919545E-7</v>
      </c>
      <c r="AE81"/>
    </row>
    <row r="82" spans="1:31" x14ac:dyDescent="0.3">
      <c r="A82" s="3">
        <v>3</v>
      </c>
      <c r="B82" s="2" t="s">
        <v>34</v>
      </c>
      <c r="C82" s="2" t="s">
        <v>23</v>
      </c>
      <c r="D82" s="2" t="s">
        <v>29</v>
      </c>
      <c r="E82" s="2">
        <v>-4.6500000000000004</v>
      </c>
      <c r="F82" s="2">
        <v>-153.30000000000001</v>
      </c>
      <c r="G82" s="2">
        <v>-137</v>
      </c>
      <c r="H82" s="2">
        <v>-205.6</v>
      </c>
      <c r="I82" s="2">
        <v>20950</v>
      </c>
      <c r="J82" s="2">
        <v>294.89999999999998</v>
      </c>
      <c r="K82" s="2">
        <v>-351.9</v>
      </c>
      <c r="L82" s="2">
        <v>-459.1</v>
      </c>
      <c r="M82" s="2">
        <f t="shared" si="7"/>
        <v>-111.3888888888887</v>
      </c>
      <c r="N82" s="2">
        <v>-1310</v>
      </c>
      <c r="O82" s="2">
        <v>5.8999999999999997E-2</v>
      </c>
      <c r="S82" s="2">
        <v>2.4500000000000002</v>
      </c>
      <c r="T82" s="2">
        <v>0</v>
      </c>
      <c r="U82" s="9">
        <v>-4.2927072328205397E-2</v>
      </c>
      <c r="V82" s="2">
        <v>0</v>
      </c>
      <c r="W82" s="2">
        <v>3469.8033308750601</v>
      </c>
      <c r="X82" s="2">
        <v>-686.99999393631504</v>
      </c>
      <c r="Z82" s="2">
        <v>-0.40000000000000102</v>
      </c>
      <c r="AA82" s="2">
        <v>-39.134114179693803</v>
      </c>
      <c r="AB82" s="2">
        <f t="shared" si="5"/>
        <v>0</v>
      </c>
      <c r="AC82" s="2">
        <f t="shared" si="6"/>
        <v>-3469.8033308750601</v>
      </c>
      <c r="AD82" s="2">
        <f t="shared" si="8"/>
        <v>-1.2267452120795497E-6</v>
      </c>
      <c r="AE82"/>
    </row>
    <row r="83" spans="1:31" x14ac:dyDescent="0.3">
      <c r="A83" s="3">
        <v>3</v>
      </c>
      <c r="B83" s="2" t="s">
        <v>34</v>
      </c>
      <c r="C83" s="2" t="s">
        <v>23</v>
      </c>
      <c r="D83" s="2" t="s">
        <v>29</v>
      </c>
      <c r="E83" s="2">
        <v>-5</v>
      </c>
      <c r="F83" s="2">
        <v>-32.76</v>
      </c>
      <c r="G83" s="2">
        <v>-35.9</v>
      </c>
      <c r="H83" s="2">
        <v>-48.6</v>
      </c>
      <c r="I83" s="2">
        <v>13980</v>
      </c>
      <c r="J83" s="2">
        <v>267</v>
      </c>
      <c r="K83" s="2">
        <v>-318.39999999999998</v>
      </c>
      <c r="L83" s="2">
        <v>-415.5</v>
      </c>
      <c r="M83" s="2">
        <f t="shared" si="7"/>
        <v>-124.57142857142877</v>
      </c>
      <c r="N83" s="2">
        <v>-1290</v>
      </c>
      <c r="O83" s="2">
        <v>3.9E-2</v>
      </c>
      <c r="S83" s="2">
        <v>2.4</v>
      </c>
      <c r="T83" s="2">
        <v>0</v>
      </c>
      <c r="U83" s="9">
        <v>-4.2857331771809601E-2</v>
      </c>
      <c r="V83" s="2">
        <v>0</v>
      </c>
      <c r="W83" s="2">
        <v>3435.4533311843802</v>
      </c>
      <c r="X83" s="2">
        <v>-686.99999375229697</v>
      </c>
      <c r="Z83" s="2">
        <v>-0.500000000000001</v>
      </c>
      <c r="AA83" s="2">
        <v>-38.882792929500901</v>
      </c>
      <c r="AB83" s="2">
        <f t="shared" si="5"/>
        <v>0</v>
      </c>
      <c r="AC83" s="2">
        <f t="shared" si="6"/>
        <v>-3435.4533311843802</v>
      </c>
      <c r="AD83" s="2">
        <f t="shared" si="8"/>
        <v>-2.7602249019764717E-6</v>
      </c>
      <c r="AE83"/>
    </row>
    <row r="84" spans="1:31" x14ac:dyDescent="0.3">
      <c r="A84" s="3">
        <v>3</v>
      </c>
      <c r="B84" s="2" t="s">
        <v>34</v>
      </c>
      <c r="C84" s="2" t="s">
        <v>23</v>
      </c>
      <c r="D84" s="2" t="s">
        <v>29</v>
      </c>
      <c r="E84" s="2">
        <v>-5.41</v>
      </c>
      <c r="F84" s="2">
        <v>92.95</v>
      </c>
      <c r="G84" s="2">
        <v>69.56</v>
      </c>
      <c r="H84" s="2">
        <v>116.1</v>
      </c>
      <c r="I84" s="2">
        <v>16630</v>
      </c>
      <c r="J84" s="2">
        <v>234.1</v>
      </c>
      <c r="K84" s="2">
        <v>-278.8</v>
      </c>
      <c r="L84" s="2">
        <v>-364</v>
      </c>
      <c r="M84" s="2">
        <f t="shared" si="7"/>
        <v>-125.60975609756093</v>
      </c>
      <c r="N84" s="2">
        <v>-1270</v>
      </c>
      <c r="O84" s="2">
        <v>4.7E-2</v>
      </c>
      <c r="S84" s="2">
        <v>2.35</v>
      </c>
      <c r="T84" s="2">
        <v>0</v>
      </c>
      <c r="U84" s="9">
        <v>-4.2783704823801602E-2</v>
      </c>
      <c r="V84" s="2">
        <v>0</v>
      </c>
      <c r="W84" s="2">
        <v>3401.1033314998299</v>
      </c>
      <c r="X84" s="2">
        <v>-686.99999338427006</v>
      </c>
      <c r="Z84" s="2">
        <v>-0.60000000000000098</v>
      </c>
      <c r="AA84" s="2">
        <v>-38.618962558606697</v>
      </c>
      <c r="AB84" s="2">
        <f t="shared" si="5"/>
        <v>0</v>
      </c>
      <c r="AC84" s="2">
        <f t="shared" si="6"/>
        <v>-3401.1033314998299</v>
      </c>
      <c r="AD84" s="2">
        <f t="shared" si="8"/>
        <v>-4.6003145826034606E-6</v>
      </c>
      <c r="AE84"/>
    </row>
    <row r="85" spans="1:31" x14ac:dyDescent="0.3">
      <c r="A85" s="3">
        <v>3</v>
      </c>
      <c r="B85" s="2" t="s">
        <v>34</v>
      </c>
      <c r="C85" s="2" t="s">
        <v>23</v>
      </c>
      <c r="D85" s="2" t="s">
        <v>29</v>
      </c>
      <c r="E85" s="2">
        <v>-5.83</v>
      </c>
      <c r="F85" s="2">
        <v>202.8</v>
      </c>
      <c r="G85" s="2">
        <v>161.80000000000001</v>
      </c>
      <c r="H85" s="2">
        <v>259.39999999999998</v>
      </c>
      <c r="I85" s="2">
        <v>22690</v>
      </c>
      <c r="J85" s="2">
        <v>203.3</v>
      </c>
      <c r="K85" s="2">
        <v>-241.8</v>
      </c>
      <c r="L85" s="2">
        <v>-315.89999999999998</v>
      </c>
      <c r="M85" s="2">
        <f t="shared" si="7"/>
        <v>-114.5238095238096</v>
      </c>
      <c r="N85" s="2">
        <v>-1250</v>
      </c>
      <c r="O85" s="2">
        <v>6.4000000000000001E-2</v>
      </c>
      <c r="S85" s="2">
        <v>2.2999999999999998</v>
      </c>
      <c r="T85" s="2">
        <v>0</v>
      </c>
      <c r="U85" s="9">
        <v>-4.27062303429687E-2</v>
      </c>
      <c r="V85" s="2">
        <v>0</v>
      </c>
      <c r="W85" s="2">
        <v>3366.75333184595</v>
      </c>
      <c r="X85" s="2">
        <v>-686.99999283223406</v>
      </c>
      <c r="Z85" s="2">
        <v>-0.70000000000000095</v>
      </c>
      <c r="AA85" s="2">
        <v>-38.342933937312999</v>
      </c>
      <c r="AB85" s="2">
        <f t="shared" si="5"/>
        <v>0</v>
      </c>
      <c r="AC85" s="2">
        <f t="shared" si="6"/>
        <v>-3366.75333184595</v>
      </c>
      <c r="AD85" s="2">
        <f t="shared" si="8"/>
        <v>-5.5204054660862295E-6</v>
      </c>
      <c r="AE85"/>
    </row>
    <row r="86" spans="1:31" x14ac:dyDescent="0.3">
      <c r="A86" s="3">
        <v>3</v>
      </c>
      <c r="B86" s="2" t="s">
        <v>34</v>
      </c>
      <c r="C86" s="2" t="s">
        <v>23</v>
      </c>
      <c r="D86" s="2" t="s">
        <v>29</v>
      </c>
      <c r="E86" s="2">
        <v>-6.24</v>
      </c>
      <c r="F86" s="2">
        <v>297.89999999999998</v>
      </c>
      <c r="G86" s="2">
        <v>241.8</v>
      </c>
      <c r="H86" s="2">
        <v>383.7</v>
      </c>
      <c r="I86" s="2">
        <v>27910</v>
      </c>
      <c r="J86" s="2">
        <v>175.1</v>
      </c>
      <c r="K86" s="2">
        <v>-207.9</v>
      </c>
      <c r="L86" s="2">
        <v>-271.8</v>
      </c>
      <c r="M86" s="2">
        <f t="shared" si="7"/>
        <v>-107.56097560975597</v>
      </c>
      <c r="N86" s="2">
        <v>-1230</v>
      </c>
      <c r="O86" s="2">
        <v>7.9000000000000001E-2</v>
      </c>
      <c r="S86" s="2">
        <v>2.25</v>
      </c>
      <c r="T86" s="2">
        <v>0</v>
      </c>
      <c r="U86" s="9">
        <v>-4.2624947188098498E-2</v>
      </c>
      <c r="V86" s="2">
        <v>0</v>
      </c>
      <c r="W86" s="2">
        <v>3332.4033322166001</v>
      </c>
      <c r="X86" s="2">
        <v>-686.99999228018896</v>
      </c>
      <c r="Z86" s="2">
        <v>-0.80000000000000104</v>
      </c>
      <c r="AA86" s="2">
        <v>-38.055017935921597</v>
      </c>
      <c r="AB86" s="2">
        <f t="shared" si="5"/>
        <v>0</v>
      </c>
      <c r="AC86" s="2">
        <f t="shared" si="6"/>
        <v>-3332.4033322166001</v>
      </c>
      <c r="AD86" s="2">
        <f t="shared" si="8"/>
        <v>-4.6003401621419454E-6</v>
      </c>
      <c r="AE86"/>
    </row>
    <row r="87" spans="1:31" x14ac:dyDescent="0.3">
      <c r="A87" s="3">
        <v>3</v>
      </c>
      <c r="B87" s="2" t="s">
        <v>34</v>
      </c>
      <c r="C87" s="2" t="s">
        <v>23</v>
      </c>
      <c r="D87" s="2" t="s">
        <v>29</v>
      </c>
      <c r="E87" s="2">
        <v>-6.68</v>
      </c>
      <c r="F87" s="2">
        <v>384.4</v>
      </c>
      <c r="G87" s="2">
        <v>314.8</v>
      </c>
      <c r="H87" s="2">
        <v>496.9</v>
      </c>
      <c r="I87" s="2">
        <v>32630</v>
      </c>
      <c r="J87" s="2">
        <v>148.1</v>
      </c>
      <c r="K87" s="2">
        <v>-175.5</v>
      </c>
      <c r="L87" s="2">
        <v>-229.6</v>
      </c>
      <c r="M87" s="2">
        <f t="shared" si="7"/>
        <v>-95.909090909091063</v>
      </c>
      <c r="N87" s="2">
        <v>-1210</v>
      </c>
      <c r="O87" s="2">
        <v>9.1999999999999998E-2</v>
      </c>
      <c r="S87" s="2">
        <v>2.2000000000000002</v>
      </c>
      <c r="T87" s="2">
        <v>0</v>
      </c>
      <c r="U87" s="9">
        <v>-4.2539894217978103E-2</v>
      </c>
      <c r="V87" s="2">
        <v>0</v>
      </c>
      <c r="W87" s="2">
        <v>3298.0533326179302</v>
      </c>
      <c r="X87" s="2">
        <v>-686.99999191216602</v>
      </c>
      <c r="Z87" s="2">
        <v>-0.90000000000000102</v>
      </c>
      <c r="AA87" s="2">
        <v>-37.755525424734302</v>
      </c>
      <c r="AB87" s="2">
        <f t="shared" si="5"/>
        <v>0</v>
      </c>
      <c r="AC87" s="2">
        <f t="shared" si="6"/>
        <v>-3298.0533326179302</v>
      </c>
      <c r="AD87" s="2">
        <f t="shared" si="8"/>
        <v>-3.6802498470933833E-6</v>
      </c>
      <c r="AE87"/>
    </row>
    <row r="88" spans="1:31" x14ac:dyDescent="0.3">
      <c r="A88" s="3">
        <v>3</v>
      </c>
      <c r="B88" s="2" t="s">
        <v>34</v>
      </c>
      <c r="C88" s="2" t="s">
        <v>23</v>
      </c>
      <c r="D88" s="2" t="s">
        <v>29</v>
      </c>
      <c r="E88" s="2">
        <v>-7.12</v>
      </c>
      <c r="F88" s="2">
        <v>457.6</v>
      </c>
      <c r="G88" s="2">
        <v>376.5</v>
      </c>
      <c r="H88" s="2">
        <v>592.6</v>
      </c>
      <c r="I88" s="2">
        <v>36580</v>
      </c>
      <c r="J88" s="2">
        <v>124.8</v>
      </c>
      <c r="K88" s="2">
        <v>-147.4</v>
      </c>
      <c r="L88" s="2">
        <v>-193.1</v>
      </c>
      <c r="M88" s="2">
        <f t="shared" si="7"/>
        <v>-82.954545454545382</v>
      </c>
      <c r="N88" s="2">
        <v>-1190</v>
      </c>
      <c r="O88" s="2">
        <v>0.10299999999999999</v>
      </c>
      <c r="S88" s="2">
        <v>2.15</v>
      </c>
      <c r="T88" s="2">
        <v>0</v>
      </c>
      <c r="U88" s="9">
        <v>-4.2451110291394999E-2</v>
      </c>
      <c r="V88" s="2">
        <v>0</v>
      </c>
      <c r="W88" s="2">
        <v>3263.7033330253898</v>
      </c>
      <c r="X88" s="2">
        <v>-686.99999154413899</v>
      </c>
      <c r="Z88" s="2">
        <v>-1</v>
      </c>
      <c r="AA88" s="2">
        <v>-37.444767274052602</v>
      </c>
      <c r="AB88" s="2">
        <f t="shared" si="5"/>
        <v>0</v>
      </c>
      <c r="AC88" s="2">
        <f t="shared" si="6"/>
        <v>-3263.7033330253898</v>
      </c>
      <c r="AD88" s="2">
        <f t="shared" si="8"/>
        <v>-3.3735904025889042E-6</v>
      </c>
      <c r="AE88"/>
    </row>
    <row r="89" spans="1:31" x14ac:dyDescent="0.3">
      <c r="A89" s="3">
        <v>3</v>
      </c>
      <c r="B89" s="2" t="s">
        <v>34</v>
      </c>
      <c r="C89" s="2" t="s">
        <v>23</v>
      </c>
      <c r="D89" s="2" t="s">
        <v>29</v>
      </c>
      <c r="E89" s="2">
        <v>-7.56</v>
      </c>
      <c r="F89" s="2">
        <v>519.29999999999995</v>
      </c>
      <c r="G89" s="2">
        <v>428.8</v>
      </c>
      <c r="H89" s="2">
        <v>673.5</v>
      </c>
      <c r="I89" s="2">
        <v>39880</v>
      </c>
      <c r="J89" s="2">
        <v>105.3</v>
      </c>
      <c r="K89" s="2">
        <v>-124.1</v>
      </c>
      <c r="L89" s="2">
        <v>-162.80000000000001</v>
      </c>
      <c r="M89" s="2">
        <f t="shared" si="7"/>
        <v>-68.863636363636402</v>
      </c>
      <c r="N89" s="2">
        <v>-1160</v>
      </c>
      <c r="O89" s="2">
        <v>0.112</v>
      </c>
      <c r="S89" s="2">
        <v>2.1</v>
      </c>
      <c r="T89" s="2">
        <v>0</v>
      </c>
      <c r="U89" s="9">
        <v>-4.2358634267136402E-2</v>
      </c>
      <c r="V89" s="2">
        <v>0</v>
      </c>
      <c r="W89" s="2">
        <v>3229.3533334635199</v>
      </c>
      <c r="X89" s="2">
        <v>-686.99999123744794</v>
      </c>
      <c r="Z89" s="2">
        <v>-1.1000000000000001</v>
      </c>
      <c r="AA89" s="2">
        <v>-37.1230543541784</v>
      </c>
      <c r="AB89" s="2">
        <f t="shared" si="5"/>
        <v>0</v>
      </c>
      <c r="AC89" s="2">
        <f t="shared" si="6"/>
        <v>-3229.3533334635199</v>
      </c>
      <c r="AD89" s="2">
        <f t="shared" si="8"/>
        <v>-1.5334302361225131E-6</v>
      </c>
      <c r="AE89"/>
    </row>
    <row r="90" spans="1:31" x14ac:dyDescent="0.3">
      <c r="A90" s="3">
        <v>3</v>
      </c>
      <c r="B90" s="2" t="s">
        <v>34</v>
      </c>
      <c r="C90" s="2" t="s">
        <v>23</v>
      </c>
      <c r="D90" s="2" t="s">
        <v>29</v>
      </c>
      <c r="E90" s="2">
        <v>-8</v>
      </c>
      <c r="F90" s="2">
        <v>571.70000000000005</v>
      </c>
      <c r="G90" s="2">
        <v>473.4</v>
      </c>
      <c r="H90" s="2">
        <v>742.3</v>
      </c>
      <c r="I90" s="2">
        <v>42650</v>
      </c>
      <c r="J90" s="2">
        <v>90.1</v>
      </c>
      <c r="K90" s="2">
        <v>-105.8</v>
      </c>
      <c r="L90" s="2">
        <v>-139</v>
      </c>
      <c r="M90" s="2">
        <f t="shared" si="7"/>
        <v>-54.090909090909072</v>
      </c>
      <c r="N90" s="2">
        <v>-1140</v>
      </c>
      <c r="O90" s="2">
        <v>0.12</v>
      </c>
      <c r="S90" s="2">
        <v>2.0499999999999998</v>
      </c>
      <c r="T90" s="2">
        <v>0</v>
      </c>
      <c r="U90" s="9">
        <v>-4.2262505003989599E-2</v>
      </c>
      <c r="V90" s="2">
        <v>0</v>
      </c>
      <c r="W90" s="2">
        <v>3195.00333390164</v>
      </c>
      <c r="X90" s="2">
        <v>-686.99999123745295</v>
      </c>
      <c r="Z90" s="2">
        <v>-1.2</v>
      </c>
      <c r="AA90" s="2">
        <v>-36.790697535413301</v>
      </c>
      <c r="AB90" s="2">
        <f t="shared" si="5"/>
        <v>0</v>
      </c>
      <c r="AC90" s="2">
        <f t="shared" si="6"/>
        <v>-3195.00333390164</v>
      </c>
      <c r="AD90" s="2">
        <f t="shared" si="8"/>
        <v>6.1338539580901862E-7</v>
      </c>
      <c r="AE90"/>
    </row>
    <row r="91" spans="1:31" x14ac:dyDescent="0.3">
      <c r="A91" s="3">
        <v>3</v>
      </c>
      <c r="B91" s="2" t="s">
        <v>34</v>
      </c>
      <c r="C91" s="2" t="s">
        <v>23</v>
      </c>
      <c r="D91" s="2" t="s">
        <v>29</v>
      </c>
      <c r="E91" s="2">
        <v>-8.41</v>
      </c>
      <c r="F91" s="2">
        <v>585.5</v>
      </c>
      <c r="G91" s="2">
        <v>485.7</v>
      </c>
      <c r="H91" s="2">
        <v>760.7</v>
      </c>
      <c r="I91" s="2">
        <v>43140</v>
      </c>
      <c r="J91" s="2">
        <v>-96.03</v>
      </c>
      <c r="K91" s="2">
        <v>117.6</v>
      </c>
      <c r="L91" s="2">
        <v>151.80000000000001</v>
      </c>
      <c r="M91" s="2">
        <f t="shared" si="7"/>
        <v>-709.26829268292659</v>
      </c>
      <c r="N91" s="2">
        <v>-1110</v>
      </c>
      <c r="O91" s="2">
        <v>0.122</v>
      </c>
      <c r="S91" s="2">
        <v>2</v>
      </c>
      <c r="T91" s="2">
        <v>0</v>
      </c>
      <c r="U91" s="9">
        <v>-4.2162761360741902E-2</v>
      </c>
      <c r="V91" s="2">
        <v>0</v>
      </c>
      <c r="W91" s="2">
        <v>3160.65333433977</v>
      </c>
      <c r="X91" s="2">
        <v>-686.99999136012502</v>
      </c>
      <c r="Z91" s="2">
        <v>-1.3</v>
      </c>
      <c r="AA91" s="2">
        <v>-36.448007688059</v>
      </c>
      <c r="AB91" s="2">
        <f t="shared" si="5"/>
        <v>0</v>
      </c>
      <c r="AC91" s="2">
        <f t="shared" si="6"/>
        <v>-3160.65333433977</v>
      </c>
      <c r="AD91" s="2">
        <f t="shared" si="8"/>
        <v>-2.5011104298755533E-11</v>
      </c>
      <c r="AE91"/>
    </row>
    <row r="92" spans="1:31" x14ac:dyDescent="0.3">
      <c r="A92" s="3">
        <v>3</v>
      </c>
      <c r="B92" s="2" t="s">
        <v>34</v>
      </c>
      <c r="C92" s="2" t="s">
        <v>23</v>
      </c>
      <c r="D92" s="2" t="s">
        <v>29</v>
      </c>
      <c r="E92" s="2">
        <v>-8.83</v>
      </c>
      <c r="F92" s="2">
        <v>464.5</v>
      </c>
      <c r="G92" s="2">
        <v>385.7</v>
      </c>
      <c r="H92" s="2">
        <v>603.79999999999995</v>
      </c>
      <c r="I92" s="2">
        <v>35890</v>
      </c>
      <c r="J92" s="2">
        <v>-363.7</v>
      </c>
      <c r="K92" s="2">
        <v>438.8</v>
      </c>
      <c r="L92" s="2">
        <v>569.9</v>
      </c>
      <c r="M92" s="2">
        <f t="shared" si="7"/>
        <v>-995.4761904761906</v>
      </c>
      <c r="N92" s="2">
        <v>-1060</v>
      </c>
      <c r="O92" s="2">
        <v>0.10100000000000001</v>
      </c>
      <c r="S92" s="2">
        <v>1.95</v>
      </c>
      <c r="T92" s="2">
        <v>0</v>
      </c>
      <c r="U92" s="9">
        <v>-4.2059442196180602E-2</v>
      </c>
      <c r="V92" s="2">
        <v>0</v>
      </c>
      <c r="W92" s="2">
        <v>3126.3033347656301</v>
      </c>
      <c r="X92" s="2">
        <v>-686.99999123744794</v>
      </c>
      <c r="Z92" s="2">
        <v>-1.4</v>
      </c>
      <c r="AA92" s="2">
        <v>-36.095295682417103</v>
      </c>
      <c r="AB92" s="2">
        <f t="shared" si="5"/>
        <v>0</v>
      </c>
      <c r="AC92" s="2">
        <f t="shared" si="6"/>
        <v>-3126.3033347656301</v>
      </c>
      <c r="AD92" s="2">
        <f t="shared" si="8"/>
        <v>-2.4535199827369074E-6</v>
      </c>
      <c r="AE92"/>
    </row>
    <row r="93" spans="1:31" x14ac:dyDescent="0.3">
      <c r="A93" s="3">
        <v>3</v>
      </c>
      <c r="B93" s="2" t="s">
        <v>34</v>
      </c>
      <c r="C93" s="2" t="s">
        <v>23</v>
      </c>
      <c r="D93" s="2" t="s">
        <v>29</v>
      </c>
      <c r="E93" s="2">
        <v>-9.24</v>
      </c>
      <c r="F93" s="2">
        <v>258.10000000000002</v>
      </c>
      <c r="G93" s="2">
        <v>214.4</v>
      </c>
      <c r="H93" s="2">
        <v>335.5</v>
      </c>
      <c r="I93" s="2">
        <v>23770</v>
      </c>
      <c r="J93" s="2">
        <v>-437.4</v>
      </c>
      <c r="K93" s="2">
        <v>526.79999999999995</v>
      </c>
      <c r="L93" s="2">
        <v>684.7</v>
      </c>
      <c r="M93" s="2">
        <f t="shared" si="7"/>
        <v>-280.00000000000006</v>
      </c>
      <c r="N93" s="2">
        <v>-1010</v>
      </c>
      <c r="O93" s="2">
        <v>6.7000000000000004E-2</v>
      </c>
      <c r="S93" s="2">
        <v>1.9</v>
      </c>
      <c r="T93" s="2">
        <v>0</v>
      </c>
      <c r="U93" s="9">
        <v>-4.1952586369092798E-2</v>
      </c>
      <c r="V93" s="2">
        <v>0</v>
      </c>
      <c r="W93" s="2">
        <v>3091.9533352160302</v>
      </c>
      <c r="X93" s="2">
        <v>-686.99999086942103</v>
      </c>
      <c r="Z93" s="2">
        <v>-1.5</v>
      </c>
      <c r="AA93" s="2">
        <v>-35.732872388789403</v>
      </c>
      <c r="AB93" s="2">
        <f t="shared" si="5"/>
        <v>0</v>
      </c>
      <c r="AC93" s="2">
        <f t="shared" si="6"/>
        <v>-3091.9533352160302</v>
      </c>
      <c r="AD93" s="2">
        <f t="shared" si="8"/>
        <v>-3.0668849149151331E-6</v>
      </c>
      <c r="AE93"/>
    </row>
    <row r="94" spans="1:31" x14ac:dyDescent="0.3">
      <c r="A94" s="3">
        <v>3</v>
      </c>
      <c r="B94" s="2" t="s">
        <v>34</v>
      </c>
      <c r="C94" s="2" t="s">
        <v>23</v>
      </c>
      <c r="D94" s="2" t="s">
        <v>29</v>
      </c>
      <c r="E94" s="2">
        <v>-9.5</v>
      </c>
      <c r="F94" s="2">
        <v>129.4</v>
      </c>
      <c r="G94" s="2">
        <v>107.5</v>
      </c>
      <c r="H94" s="2">
        <v>168.2</v>
      </c>
      <c r="I94" s="2">
        <v>16190</v>
      </c>
      <c r="J94" s="2">
        <v>-376.4</v>
      </c>
      <c r="K94" s="2">
        <v>453.1</v>
      </c>
      <c r="L94" s="2">
        <v>589</v>
      </c>
      <c r="M94" s="2">
        <f t="shared" si="7"/>
        <v>368.07692307692355</v>
      </c>
      <c r="N94" s="2">
        <v>-975</v>
      </c>
      <c r="O94" s="2">
        <v>4.5999999999999999E-2</v>
      </c>
      <c r="S94" s="2">
        <v>1.85</v>
      </c>
      <c r="T94" s="2">
        <v>0</v>
      </c>
      <c r="U94" s="9">
        <v>-4.1842232738265997E-2</v>
      </c>
      <c r="V94" s="2">
        <v>0</v>
      </c>
      <c r="W94" s="2">
        <v>3057.6033356786902</v>
      </c>
      <c r="X94" s="2">
        <v>-686.99999062407096</v>
      </c>
      <c r="Z94" s="2">
        <v>-1.6</v>
      </c>
      <c r="AA94" s="2">
        <v>-35.361048677477399</v>
      </c>
      <c r="AB94" s="2">
        <f t="shared" si="5"/>
        <v>0</v>
      </c>
      <c r="AC94" s="2">
        <f t="shared" si="6"/>
        <v>-3057.6033356786902</v>
      </c>
      <c r="AD94" s="2">
        <f t="shared" si="8"/>
        <v>-2.4534949716326086E-6</v>
      </c>
      <c r="AE94"/>
    </row>
    <row r="95" spans="1:31" x14ac:dyDescent="0.3">
      <c r="A95" s="3">
        <v>3</v>
      </c>
      <c r="B95" s="2" t="s">
        <v>34</v>
      </c>
      <c r="C95" s="2" t="s">
        <v>23</v>
      </c>
      <c r="D95" s="2" t="s">
        <v>29</v>
      </c>
      <c r="E95" s="2">
        <v>-9.75</v>
      </c>
      <c r="F95" s="2">
        <v>36.479999999999997</v>
      </c>
      <c r="G95" s="2">
        <v>30.31</v>
      </c>
      <c r="H95" s="2">
        <v>47.43</v>
      </c>
      <c r="I95" s="2">
        <v>10640</v>
      </c>
      <c r="J95" s="2">
        <v>-232.8</v>
      </c>
      <c r="K95" s="2">
        <v>280.10000000000002</v>
      </c>
      <c r="L95" s="2">
        <v>364.2</v>
      </c>
      <c r="M95" s="2">
        <f t="shared" si="7"/>
        <v>899.2</v>
      </c>
      <c r="N95" s="2">
        <v>-942</v>
      </c>
      <c r="O95" s="2">
        <v>0.03</v>
      </c>
      <c r="S95" s="2">
        <v>1.8</v>
      </c>
      <c r="T95" s="2">
        <v>0</v>
      </c>
      <c r="U95" s="9">
        <v>-4.1728420162487297E-2</v>
      </c>
      <c r="V95" s="2">
        <v>0</v>
      </c>
      <c r="W95" s="2">
        <v>3023.2533361536198</v>
      </c>
      <c r="X95" s="2">
        <v>-686.99999037872203</v>
      </c>
      <c r="Z95" s="2">
        <v>-1.7</v>
      </c>
      <c r="AA95" s="2">
        <v>-34.980135418782901</v>
      </c>
      <c r="AB95" s="2">
        <f t="shared" si="5"/>
        <v>0</v>
      </c>
      <c r="AC95" s="2">
        <f t="shared" si="6"/>
        <v>-3023.2533361536198</v>
      </c>
      <c r="AD95" s="2">
        <f t="shared" si="8"/>
        <v>-2.1468150634973431E-6</v>
      </c>
      <c r="AE95"/>
    </row>
    <row r="96" spans="1:31" x14ac:dyDescent="0.3">
      <c r="A96" s="3">
        <v>3</v>
      </c>
      <c r="B96" s="2" t="s">
        <v>34</v>
      </c>
      <c r="C96" s="2" t="s">
        <v>23</v>
      </c>
      <c r="D96" s="2" t="s">
        <v>29</v>
      </c>
      <c r="E96" s="2">
        <v>-10</v>
      </c>
      <c r="F96" s="2">
        <v>-0.84909999999999997</v>
      </c>
      <c r="G96" s="2">
        <v>-0.70650000000000002</v>
      </c>
      <c r="H96" s="2">
        <v>-1.105</v>
      </c>
      <c r="I96" s="2">
        <v>8313</v>
      </c>
      <c r="J96" s="2">
        <v>0</v>
      </c>
      <c r="K96" s="2">
        <v>0</v>
      </c>
      <c r="L96" s="2">
        <v>0</v>
      </c>
      <c r="M96" s="2">
        <f t="shared" si="7"/>
        <v>1456.8</v>
      </c>
      <c r="N96" s="2">
        <v>-908</v>
      </c>
      <c r="O96" s="2">
        <v>2.3E-2</v>
      </c>
      <c r="S96" s="2">
        <v>1.75</v>
      </c>
      <c r="T96" s="2">
        <v>0</v>
      </c>
      <c r="U96" s="9">
        <v>-4.1611187500544003E-2</v>
      </c>
      <c r="V96" s="2">
        <v>0</v>
      </c>
      <c r="W96" s="2">
        <v>2988.9033366408198</v>
      </c>
      <c r="X96" s="2">
        <v>-686.99999019470795</v>
      </c>
      <c r="Z96" s="2">
        <v>-1.8</v>
      </c>
      <c r="AA96" s="2">
        <v>-34.590443483007398</v>
      </c>
      <c r="AB96" s="2">
        <f t="shared" si="5"/>
        <v>0</v>
      </c>
      <c r="AC96" s="2">
        <f t="shared" si="6"/>
        <v>-2988.9033366408198</v>
      </c>
      <c r="AD96" s="2">
        <f t="shared" si="8"/>
        <v>-2.4535000875403061E-6</v>
      </c>
      <c r="AE96"/>
    </row>
    <row r="97" spans="1:31" x14ac:dyDescent="0.3">
      <c r="A97" s="3">
        <v>4</v>
      </c>
      <c r="B97" s="2" t="s">
        <v>34</v>
      </c>
      <c r="C97" s="2" t="s">
        <v>23</v>
      </c>
      <c r="D97" s="2" t="s">
        <v>30</v>
      </c>
      <c r="E97" s="2">
        <v>1.24</v>
      </c>
      <c r="F97" s="2">
        <v>-3124</v>
      </c>
      <c r="G97" s="2">
        <v>-2521</v>
      </c>
      <c r="H97" s="2">
        <v>-4014</v>
      </c>
      <c r="I97" s="2">
        <v>190200</v>
      </c>
      <c r="J97" s="2">
        <v>423.2</v>
      </c>
      <c r="K97" s="2">
        <v>-525.9</v>
      </c>
      <c r="L97" s="2">
        <v>-675</v>
      </c>
      <c r="N97" s="2">
        <v>-1720</v>
      </c>
      <c r="O97" s="2">
        <v>0.53600000000000003</v>
      </c>
      <c r="S97" s="2">
        <v>1.7</v>
      </c>
      <c r="T97" s="2">
        <v>0</v>
      </c>
      <c r="U97" s="9">
        <v>-4.14905736112232E-2</v>
      </c>
      <c r="V97" s="2">
        <v>0</v>
      </c>
      <c r="W97" s="2">
        <v>2954.5533371341498</v>
      </c>
      <c r="X97" s="2">
        <v>-686.99998988802201</v>
      </c>
      <c r="Z97" s="2">
        <v>-1.9</v>
      </c>
      <c r="AA97" s="2">
        <v>-34.192283740452702</v>
      </c>
      <c r="AB97" s="2">
        <f t="shared" si="5"/>
        <v>0</v>
      </c>
      <c r="AC97" s="2">
        <f t="shared" si="6"/>
        <v>-2954.5533371341498</v>
      </c>
      <c r="AD97" s="2">
        <f t="shared" si="8"/>
        <v>-3.373564823050402E-6</v>
      </c>
      <c r="AE97"/>
    </row>
    <row r="98" spans="1:31" x14ac:dyDescent="0.3">
      <c r="A98" s="3">
        <v>4</v>
      </c>
      <c r="B98" s="2" t="s">
        <v>34</v>
      </c>
      <c r="C98" s="2" t="s">
        <v>23</v>
      </c>
      <c r="D98" s="2" t="s">
        <v>30</v>
      </c>
      <c r="E98" s="2">
        <v>0.83</v>
      </c>
      <c r="F98" s="2">
        <v>-2910</v>
      </c>
      <c r="G98" s="2">
        <v>-2349</v>
      </c>
      <c r="H98" s="2">
        <v>-3740</v>
      </c>
      <c r="I98" s="2">
        <v>178400</v>
      </c>
      <c r="J98" s="2">
        <v>423.2</v>
      </c>
      <c r="K98" s="2">
        <v>-525.9</v>
      </c>
      <c r="L98" s="2">
        <v>-675</v>
      </c>
      <c r="M98" s="2">
        <f>(L97-L98)/ABS(E98-E97)</f>
        <v>0</v>
      </c>
      <c r="N98" s="2">
        <v>-1720</v>
      </c>
      <c r="O98" s="2">
        <v>0.502</v>
      </c>
      <c r="S98" s="2">
        <v>1.65</v>
      </c>
      <c r="T98" s="2">
        <v>0</v>
      </c>
      <c r="U98" s="9">
        <v>-4.1366617353312297E-2</v>
      </c>
      <c r="V98" s="2">
        <v>0</v>
      </c>
      <c r="W98" s="2">
        <v>2920.2033376520098</v>
      </c>
      <c r="X98" s="2">
        <v>-686.99998951999498</v>
      </c>
      <c r="Z98" s="2">
        <v>-2</v>
      </c>
      <c r="AA98" s="2">
        <v>-33.785967061420202</v>
      </c>
      <c r="AB98" s="2">
        <f t="shared" si="5"/>
        <v>0</v>
      </c>
      <c r="AC98" s="2">
        <f t="shared" si="6"/>
        <v>-2920.2033376520098</v>
      </c>
      <c r="AD98" s="2">
        <f t="shared" si="8"/>
        <v>-4.2936551380989798E-6</v>
      </c>
      <c r="AE98"/>
    </row>
    <row r="99" spans="1:31" x14ac:dyDescent="0.3">
      <c r="A99" s="3">
        <v>4</v>
      </c>
      <c r="B99" s="2" t="s">
        <v>34</v>
      </c>
      <c r="C99" s="2" t="s">
        <v>23</v>
      </c>
      <c r="D99" s="2" t="s">
        <v>30</v>
      </c>
      <c r="E99" s="2">
        <v>0.43</v>
      </c>
      <c r="F99" s="2">
        <v>-2697</v>
      </c>
      <c r="G99" s="2">
        <v>-2177</v>
      </c>
      <c r="H99" s="2">
        <v>-3466</v>
      </c>
      <c r="I99" s="2">
        <v>166500</v>
      </c>
      <c r="J99" s="2">
        <v>423.2</v>
      </c>
      <c r="K99" s="2">
        <v>-525.9</v>
      </c>
      <c r="L99" s="2">
        <v>-675</v>
      </c>
      <c r="M99" s="2">
        <f t="shared" ref="M99:M127" si="9">(L98-L99)/ABS(E99-E98)</f>
        <v>0</v>
      </c>
      <c r="N99" s="2">
        <v>-1730</v>
      </c>
      <c r="O99" s="2">
        <v>0.46899999999999997</v>
      </c>
      <c r="S99" s="2">
        <v>1.6</v>
      </c>
      <c r="T99" s="2">
        <v>0</v>
      </c>
      <c r="U99" s="9">
        <v>-4.1239357585598303E-2</v>
      </c>
      <c r="V99" s="2">
        <v>0</v>
      </c>
      <c r="W99" s="2">
        <v>2885.8533381821499</v>
      </c>
      <c r="X99" s="2">
        <v>-686.99998902929099</v>
      </c>
      <c r="Z99" s="2">
        <v>-2.1</v>
      </c>
      <c r="AA99" s="2">
        <v>-33.371804316211701</v>
      </c>
      <c r="AB99" s="2">
        <f t="shared" si="5"/>
        <v>0</v>
      </c>
      <c r="AC99" s="2">
        <f t="shared" si="6"/>
        <v>-2885.8533381821499</v>
      </c>
      <c r="AD99" s="2">
        <f t="shared" si="8"/>
        <v>-4.2936551380989798E-6</v>
      </c>
      <c r="AE99"/>
    </row>
    <row r="100" spans="1:31" x14ac:dyDescent="0.3">
      <c r="A100" s="3">
        <v>4</v>
      </c>
      <c r="B100" s="2" t="s">
        <v>34</v>
      </c>
      <c r="C100" s="2" t="s">
        <v>23</v>
      </c>
      <c r="D100" s="2" t="s">
        <v>30</v>
      </c>
      <c r="E100" s="2">
        <v>0.02</v>
      </c>
      <c r="F100" s="2">
        <v>-2482</v>
      </c>
      <c r="G100" s="2">
        <v>-2005</v>
      </c>
      <c r="H100" s="2">
        <v>-3191</v>
      </c>
      <c r="I100" s="2">
        <v>154600</v>
      </c>
      <c r="J100" s="2">
        <v>423.2</v>
      </c>
      <c r="K100" s="2">
        <v>-525.9</v>
      </c>
      <c r="L100" s="2">
        <v>-675</v>
      </c>
      <c r="M100" s="2">
        <f t="shared" si="9"/>
        <v>0</v>
      </c>
      <c r="N100" s="2">
        <v>-1730</v>
      </c>
      <c r="O100" s="2">
        <v>0.435</v>
      </c>
      <c r="S100" s="2">
        <v>1.55</v>
      </c>
      <c r="T100" s="2">
        <v>0</v>
      </c>
      <c r="U100" s="9">
        <v>-4.1108833166868398E-2</v>
      </c>
      <c r="V100" s="2">
        <v>0</v>
      </c>
      <c r="W100" s="2">
        <v>2851.5033387490798</v>
      </c>
      <c r="X100" s="2">
        <v>-686.99998866126396</v>
      </c>
      <c r="Z100" s="2">
        <v>-2.2000000000000002</v>
      </c>
      <c r="AA100" s="2">
        <v>-32.950106375128698</v>
      </c>
      <c r="AB100" s="2">
        <f t="shared" si="5"/>
        <v>0</v>
      </c>
      <c r="AC100" s="2">
        <f t="shared" si="6"/>
        <v>-2851.5033387490798</v>
      </c>
      <c r="AD100" s="2">
        <f t="shared" si="8"/>
        <v>-9.2006985141779423E-7</v>
      </c>
      <c r="AE100"/>
    </row>
    <row r="101" spans="1:31" x14ac:dyDescent="0.3">
      <c r="A101" s="3">
        <v>4</v>
      </c>
      <c r="B101" s="2" t="s">
        <v>34</v>
      </c>
      <c r="C101" s="2" t="s">
        <v>23</v>
      </c>
      <c r="D101" s="2" t="s">
        <v>30</v>
      </c>
      <c r="E101" s="2">
        <v>-0.38</v>
      </c>
      <c r="F101" s="2">
        <v>-2268</v>
      </c>
      <c r="G101" s="2">
        <v>-1832</v>
      </c>
      <c r="H101" s="2">
        <v>-2915</v>
      </c>
      <c r="I101" s="2">
        <v>142600</v>
      </c>
      <c r="J101" s="2">
        <v>423.2</v>
      </c>
      <c r="K101" s="2">
        <v>-525.9</v>
      </c>
      <c r="L101" s="2">
        <v>-675</v>
      </c>
      <c r="M101" s="2">
        <f t="shared" si="9"/>
        <v>0</v>
      </c>
      <c r="N101" s="2">
        <v>-1730</v>
      </c>
      <c r="O101" s="2">
        <v>0.40200000000000002</v>
      </c>
      <c r="S101" s="2">
        <v>1.5</v>
      </c>
      <c r="T101" s="2">
        <v>0</v>
      </c>
      <c r="U101" s="9">
        <v>-4.0975082955909903E-2</v>
      </c>
      <c r="V101" s="2">
        <v>0</v>
      </c>
      <c r="W101" s="2">
        <v>2817.1533393160198</v>
      </c>
      <c r="X101" s="2">
        <v>-686.99998884527702</v>
      </c>
      <c r="Z101" s="2">
        <v>-2.2999999999999998</v>
      </c>
      <c r="AA101" s="2">
        <v>-32.521183682705299</v>
      </c>
      <c r="AB101" s="2">
        <f t="shared" si="5"/>
        <v>0</v>
      </c>
      <c r="AC101" s="2">
        <f t="shared" si="6"/>
        <v>-2817.1533393160198</v>
      </c>
      <c r="AD101" s="2">
        <f t="shared" si="8"/>
        <v>-1.2267497595530602E-6</v>
      </c>
      <c r="AE101"/>
    </row>
    <row r="102" spans="1:31" x14ac:dyDescent="0.3">
      <c r="A102" s="3">
        <v>4</v>
      </c>
      <c r="B102" s="2" t="s">
        <v>34</v>
      </c>
      <c r="C102" s="2" t="s">
        <v>23</v>
      </c>
      <c r="D102" s="2" t="s">
        <v>30</v>
      </c>
      <c r="E102" s="2">
        <v>-0.79</v>
      </c>
      <c r="F102" s="2">
        <v>-2053</v>
      </c>
      <c r="G102" s="2">
        <v>-1659</v>
      </c>
      <c r="H102" s="2">
        <v>-2640</v>
      </c>
      <c r="I102" s="2">
        <v>130700</v>
      </c>
      <c r="J102" s="2">
        <v>423.2</v>
      </c>
      <c r="K102" s="2">
        <v>-525.9</v>
      </c>
      <c r="L102" s="2">
        <v>-675</v>
      </c>
      <c r="M102" s="2">
        <f t="shared" si="9"/>
        <v>0</v>
      </c>
      <c r="N102" s="2">
        <v>-1740</v>
      </c>
      <c r="O102" s="2">
        <v>0.36799999999999999</v>
      </c>
      <c r="S102" s="2">
        <v>1.45</v>
      </c>
      <c r="T102" s="2">
        <v>0</v>
      </c>
      <c r="U102" s="9">
        <v>-4.0838145811509699E-2</v>
      </c>
      <c r="V102" s="2">
        <v>0</v>
      </c>
      <c r="W102" s="2">
        <v>2782.8033398645598</v>
      </c>
      <c r="X102" s="2">
        <v>-686.999988415914</v>
      </c>
      <c r="Z102" s="2">
        <v>-2.4</v>
      </c>
      <c r="AA102" s="2">
        <v>-32.085345787022497</v>
      </c>
      <c r="AB102" s="2">
        <f t="shared" si="5"/>
        <v>0</v>
      </c>
      <c r="AC102" s="2">
        <f t="shared" si="6"/>
        <v>-2782.8033398645598</v>
      </c>
      <c r="AD102" s="2">
        <f t="shared" si="8"/>
        <v>-4.9069950591729097E-6</v>
      </c>
      <c r="AE102"/>
    </row>
    <row r="103" spans="1:31" x14ac:dyDescent="0.3">
      <c r="A103" s="3">
        <v>4</v>
      </c>
      <c r="B103" s="2" t="s">
        <v>34</v>
      </c>
      <c r="C103" s="2" t="s">
        <v>23</v>
      </c>
      <c r="D103" s="2" t="s">
        <v>30</v>
      </c>
      <c r="E103" s="2">
        <v>-1.19</v>
      </c>
      <c r="F103" s="2">
        <v>-1838</v>
      </c>
      <c r="G103" s="2">
        <v>-1486</v>
      </c>
      <c r="H103" s="2">
        <v>-2364</v>
      </c>
      <c r="I103" s="2">
        <v>118700</v>
      </c>
      <c r="J103" s="2">
        <v>423.2</v>
      </c>
      <c r="K103" s="2">
        <v>-525.9</v>
      </c>
      <c r="L103" s="2">
        <v>-675</v>
      </c>
      <c r="M103" s="2">
        <f t="shared" si="9"/>
        <v>0</v>
      </c>
      <c r="N103" s="2">
        <v>-1740</v>
      </c>
      <c r="O103" s="2">
        <v>0.33400000000000002</v>
      </c>
      <c r="S103" s="2">
        <v>1.4</v>
      </c>
      <c r="T103" s="2">
        <v>0</v>
      </c>
      <c r="U103" s="9">
        <v>-4.0698060592455003E-2</v>
      </c>
      <c r="V103" s="2">
        <v>0</v>
      </c>
      <c r="W103" s="2">
        <v>2748.4533404744302</v>
      </c>
      <c r="X103" s="2">
        <v>-686.999987863878</v>
      </c>
      <c r="Z103" s="2">
        <v>-2.5</v>
      </c>
      <c r="AA103" s="2">
        <v>-31.642900830663802</v>
      </c>
      <c r="AB103" s="2">
        <f t="shared" si="5"/>
        <v>0</v>
      </c>
      <c r="AC103" s="2">
        <f t="shared" si="6"/>
        <v>-2748.4533404744302</v>
      </c>
      <c r="AD103" s="2">
        <f t="shared" si="8"/>
        <v>-3.3735648230503982E-6</v>
      </c>
      <c r="AE103"/>
    </row>
    <row r="104" spans="1:31" x14ac:dyDescent="0.3">
      <c r="A104" s="3">
        <v>4</v>
      </c>
      <c r="B104" s="2" t="s">
        <v>34</v>
      </c>
      <c r="C104" s="2" t="s">
        <v>23</v>
      </c>
      <c r="D104" s="2" t="s">
        <v>30</v>
      </c>
      <c r="E104" s="2">
        <v>-1.6</v>
      </c>
      <c r="F104" s="2">
        <v>-1623</v>
      </c>
      <c r="G104" s="2">
        <v>-1313</v>
      </c>
      <c r="H104" s="2">
        <v>-2088</v>
      </c>
      <c r="I104" s="2">
        <v>106800</v>
      </c>
      <c r="J104" s="2">
        <v>423.2</v>
      </c>
      <c r="K104" s="2">
        <v>-525.9</v>
      </c>
      <c r="L104" s="2">
        <v>-675</v>
      </c>
      <c r="M104" s="2">
        <f t="shared" si="9"/>
        <v>0</v>
      </c>
      <c r="N104" s="2">
        <v>-1740</v>
      </c>
      <c r="O104" s="2">
        <v>0.30099999999999999</v>
      </c>
      <c r="S104" s="2">
        <v>1.35</v>
      </c>
      <c r="T104" s="2">
        <v>0</v>
      </c>
      <c r="U104" s="9">
        <v>-4.0554866157533002E-2</v>
      </c>
      <c r="V104" s="2">
        <v>0</v>
      </c>
      <c r="W104" s="2">
        <v>2714.1033410781702</v>
      </c>
      <c r="X104" s="2">
        <v>-686.99998774120104</v>
      </c>
      <c r="Z104" s="2">
        <v>-2.6</v>
      </c>
      <c r="AA104" s="2">
        <v>-31.194155009879299</v>
      </c>
      <c r="AB104" s="2">
        <f t="shared" si="5"/>
        <v>0</v>
      </c>
      <c r="AC104" s="2">
        <f t="shared" si="6"/>
        <v>-2714.1033410781702</v>
      </c>
      <c r="AD104" s="2">
        <f t="shared" si="8"/>
        <v>-2.7602249019764688E-6</v>
      </c>
      <c r="AE104"/>
    </row>
    <row r="105" spans="1:31" x14ac:dyDescent="0.3">
      <c r="A105" s="3">
        <v>4</v>
      </c>
      <c r="B105" s="2" t="s">
        <v>34</v>
      </c>
      <c r="C105" s="2" t="s">
        <v>23</v>
      </c>
      <c r="D105" s="2" t="s">
        <v>30</v>
      </c>
      <c r="E105" s="2">
        <v>-2</v>
      </c>
      <c r="F105" s="2">
        <v>-1407</v>
      </c>
      <c r="G105" s="2">
        <v>-1140</v>
      </c>
      <c r="H105" s="2">
        <v>-1811</v>
      </c>
      <c r="I105" s="2">
        <v>94770</v>
      </c>
      <c r="J105" s="2">
        <v>423.2</v>
      </c>
      <c r="K105" s="2">
        <v>-525.9</v>
      </c>
      <c r="L105" s="2">
        <v>-675</v>
      </c>
      <c r="M105" s="2">
        <f t="shared" si="9"/>
        <v>0</v>
      </c>
      <c r="N105" s="2">
        <v>-1740</v>
      </c>
      <c r="O105" s="2">
        <v>0.26700000000000002</v>
      </c>
      <c r="S105" s="2">
        <v>1.3</v>
      </c>
      <c r="T105" s="2">
        <v>0</v>
      </c>
      <c r="U105" s="9">
        <v>-4.0408601365530601E-2</v>
      </c>
      <c r="V105" s="2">
        <v>0</v>
      </c>
      <c r="W105" s="2">
        <v>2679.7533417003101</v>
      </c>
      <c r="X105" s="2">
        <v>-686.99998731183302</v>
      </c>
      <c r="Z105" s="2">
        <v>-2.7</v>
      </c>
      <c r="AA105" s="2">
        <v>-30.739412008527498</v>
      </c>
      <c r="AB105" s="2">
        <f t="shared" si="5"/>
        <v>0</v>
      </c>
      <c r="AC105" s="2">
        <f t="shared" si="6"/>
        <v>-2679.7533417003101</v>
      </c>
      <c r="AD105" s="2">
        <f t="shared" si="8"/>
        <v>-3.6802703107241592E-6</v>
      </c>
      <c r="AE105"/>
    </row>
    <row r="106" spans="1:31" x14ac:dyDescent="0.3">
      <c r="A106" s="3">
        <v>4</v>
      </c>
      <c r="B106" s="2" t="s">
        <v>34</v>
      </c>
      <c r="C106" s="2" t="s">
        <v>23</v>
      </c>
      <c r="D106" s="2" t="s">
        <v>30</v>
      </c>
      <c r="E106" s="2">
        <v>-2.35</v>
      </c>
      <c r="F106" s="2">
        <v>-1221</v>
      </c>
      <c r="G106" s="2">
        <v>-990.2</v>
      </c>
      <c r="H106" s="2">
        <v>-1572</v>
      </c>
      <c r="I106" s="2">
        <v>84400</v>
      </c>
      <c r="J106" s="2">
        <v>419.1</v>
      </c>
      <c r="K106" s="2">
        <v>-520.70000000000005</v>
      </c>
      <c r="L106" s="2">
        <v>-668.4</v>
      </c>
      <c r="M106" s="2">
        <f t="shared" si="9"/>
        <v>-18.857142857142918</v>
      </c>
      <c r="N106" s="2">
        <v>-1750</v>
      </c>
      <c r="O106" s="2">
        <v>0.23799999999999999</v>
      </c>
      <c r="S106" s="2">
        <v>1.25</v>
      </c>
      <c r="T106" s="2">
        <v>0</v>
      </c>
      <c r="U106" s="9">
        <v>-4.0259305075235001E-2</v>
      </c>
      <c r="V106" s="2">
        <v>0</v>
      </c>
      <c r="W106" s="2">
        <v>2645.40334234699</v>
      </c>
      <c r="X106" s="2">
        <v>-686.99998700514698</v>
      </c>
      <c r="Z106" s="2">
        <v>-2.8</v>
      </c>
      <c r="AA106" s="2">
        <v>-30.2789728181701</v>
      </c>
      <c r="AB106" s="2">
        <f t="shared" si="5"/>
        <v>0</v>
      </c>
      <c r="AC106" s="2">
        <f t="shared" si="6"/>
        <v>-2645.40334234699</v>
      </c>
      <c r="AD106" s="2">
        <f t="shared" si="8"/>
        <v>-4.2936352429023887E-6</v>
      </c>
      <c r="AE106"/>
    </row>
    <row r="107" spans="1:31" x14ac:dyDescent="0.3">
      <c r="A107" s="3">
        <v>4</v>
      </c>
      <c r="B107" s="2" t="s">
        <v>34</v>
      </c>
      <c r="C107" s="2" t="s">
        <v>23</v>
      </c>
      <c r="D107" s="2" t="s">
        <v>30</v>
      </c>
      <c r="E107" s="2">
        <v>-2.7</v>
      </c>
      <c r="F107" s="2">
        <v>-1039</v>
      </c>
      <c r="G107" s="2">
        <v>-843.5</v>
      </c>
      <c r="H107" s="2">
        <v>-1338</v>
      </c>
      <c r="I107" s="2">
        <v>74240</v>
      </c>
      <c r="J107" s="2">
        <v>405.9</v>
      </c>
      <c r="K107" s="2">
        <v>-504.3</v>
      </c>
      <c r="L107" s="2">
        <v>-647.4</v>
      </c>
      <c r="M107" s="2">
        <f t="shared" si="9"/>
        <v>-59.999999999999986</v>
      </c>
      <c r="N107" s="2">
        <v>-1750</v>
      </c>
      <c r="O107" s="2">
        <v>0.20899999999999999</v>
      </c>
      <c r="S107" s="2">
        <v>1.2</v>
      </c>
      <c r="T107" s="2">
        <v>0</v>
      </c>
      <c r="U107" s="9">
        <v>-4.0107016145433202E-2</v>
      </c>
      <c r="V107" s="2">
        <v>0</v>
      </c>
      <c r="W107" s="2">
        <v>2611.0533429998</v>
      </c>
      <c r="X107" s="2">
        <v>-686.99998645310598</v>
      </c>
      <c r="Z107" s="2">
        <v>-2.9</v>
      </c>
      <c r="AA107" s="2">
        <v>-29.813135615846299</v>
      </c>
      <c r="AB107" s="2">
        <f t="shared" si="5"/>
        <v>0</v>
      </c>
      <c r="AC107" s="2">
        <f t="shared" si="6"/>
        <v>-2611.0533429998</v>
      </c>
      <c r="AD107" s="2">
        <f t="shared" si="8"/>
        <v>-5.8270899216950005E-6</v>
      </c>
      <c r="AE107"/>
    </row>
    <row r="108" spans="1:31" x14ac:dyDescent="0.3">
      <c r="A108" s="3">
        <v>4</v>
      </c>
      <c r="B108" s="2" t="s">
        <v>34</v>
      </c>
      <c r="C108" s="2" t="s">
        <v>23</v>
      </c>
      <c r="D108" s="2" t="s">
        <v>30</v>
      </c>
      <c r="E108" s="2">
        <v>-2.97</v>
      </c>
      <c r="F108" s="2">
        <v>-903.1</v>
      </c>
      <c r="G108" s="2">
        <v>-734.1</v>
      </c>
      <c r="H108" s="2">
        <v>-1164</v>
      </c>
      <c r="I108" s="2">
        <v>66580</v>
      </c>
      <c r="J108" s="2">
        <v>393.1</v>
      </c>
      <c r="K108" s="2">
        <v>-488.3</v>
      </c>
      <c r="L108" s="2">
        <v>-626.9</v>
      </c>
      <c r="M108" s="2">
        <f t="shared" si="9"/>
        <v>-75.925925925925924</v>
      </c>
      <c r="N108" s="2">
        <v>-1740</v>
      </c>
      <c r="O108" s="2">
        <v>0.188</v>
      </c>
      <c r="S108" s="2">
        <v>1.1499999999999999</v>
      </c>
      <c r="T108" s="2">
        <v>0</v>
      </c>
      <c r="U108" s="9">
        <v>-3.9951773434912199E-2</v>
      </c>
      <c r="V108" s="2">
        <v>0</v>
      </c>
      <c r="W108" s="2">
        <v>2576.7033437016798</v>
      </c>
      <c r="X108" s="2">
        <v>-686.99998583972899</v>
      </c>
      <c r="Z108" s="2">
        <v>-3</v>
      </c>
      <c r="AA108" s="2">
        <v>-29.342195641618702</v>
      </c>
      <c r="AB108" s="2">
        <f t="shared" si="5"/>
        <v>0</v>
      </c>
      <c r="AC108" s="2">
        <f t="shared" si="6"/>
        <v>-2576.7033437016798</v>
      </c>
      <c r="AD108" s="2">
        <f t="shared" si="8"/>
        <v>-3.6802498470933608E-6</v>
      </c>
      <c r="AE108"/>
    </row>
    <row r="109" spans="1:31" x14ac:dyDescent="0.3">
      <c r="A109" s="3">
        <v>4</v>
      </c>
      <c r="B109" s="2" t="s">
        <v>34</v>
      </c>
      <c r="C109" s="2" t="s">
        <v>23</v>
      </c>
      <c r="D109" s="2" t="s">
        <v>30</v>
      </c>
      <c r="E109" s="2">
        <v>-3.24</v>
      </c>
      <c r="F109" s="2">
        <v>-771.3</v>
      </c>
      <c r="G109" s="2">
        <v>-628</v>
      </c>
      <c r="H109" s="2">
        <v>-994.6</v>
      </c>
      <c r="I109" s="2">
        <v>59140</v>
      </c>
      <c r="J109" s="2">
        <v>380.7</v>
      </c>
      <c r="K109" s="2">
        <v>-472.8</v>
      </c>
      <c r="L109" s="2">
        <v>-607</v>
      </c>
      <c r="M109" s="2">
        <f t="shared" si="9"/>
        <v>-73.70370370370361</v>
      </c>
      <c r="N109" s="2">
        <v>-1730</v>
      </c>
      <c r="O109" s="2">
        <v>0.16700000000000001</v>
      </c>
      <c r="S109" s="2">
        <v>1.1000000000000001</v>
      </c>
      <c r="T109" s="2">
        <v>0</v>
      </c>
      <c r="U109" s="9">
        <v>-3.9793615802459097E-2</v>
      </c>
      <c r="V109" s="2">
        <v>0</v>
      </c>
      <c r="W109" s="2">
        <v>2542.3533444158202</v>
      </c>
      <c r="X109" s="2">
        <v>-686.99998571705601</v>
      </c>
      <c r="Z109" s="2">
        <v>-3.1</v>
      </c>
      <c r="AA109" s="2">
        <v>-28.866445075923401</v>
      </c>
      <c r="AB109" s="2">
        <f t="shared" si="5"/>
        <v>0</v>
      </c>
      <c r="AC109" s="2">
        <f t="shared" si="6"/>
        <v>-2542.3533444158202</v>
      </c>
      <c r="AD109" s="2">
        <f t="shared" si="8"/>
        <v>-2.1468150634973405E-6</v>
      </c>
      <c r="AE109"/>
    </row>
    <row r="110" spans="1:31" x14ac:dyDescent="0.3">
      <c r="A110" s="3">
        <v>4</v>
      </c>
      <c r="B110" s="2" t="s">
        <v>34</v>
      </c>
      <c r="C110" s="2" t="s">
        <v>23</v>
      </c>
      <c r="D110" s="2" t="s">
        <v>30</v>
      </c>
      <c r="E110" s="2">
        <v>-3.59</v>
      </c>
      <c r="F110" s="2">
        <v>-607</v>
      </c>
      <c r="G110" s="2">
        <v>-495.7</v>
      </c>
      <c r="H110" s="2">
        <v>-783.7</v>
      </c>
      <c r="I110" s="2">
        <v>49890</v>
      </c>
      <c r="J110" s="2">
        <v>362.6</v>
      </c>
      <c r="K110" s="2">
        <v>-450.2</v>
      </c>
      <c r="L110" s="2">
        <v>-578.1</v>
      </c>
      <c r="M110" s="2">
        <f t="shared" si="9"/>
        <v>-82.571428571428584</v>
      </c>
      <c r="N110" s="2">
        <v>-1720</v>
      </c>
      <c r="O110" s="2">
        <v>0.14099999999999999</v>
      </c>
      <c r="S110" s="2">
        <v>1.05</v>
      </c>
      <c r="T110" s="2">
        <v>0</v>
      </c>
      <c r="U110" s="9">
        <v>-3.9632582106860603E-2</v>
      </c>
      <c r="V110" s="2">
        <v>0</v>
      </c>
      <c r="W110" s="2">
        <v>2508.0033451299701</v>
      </c>
      <c r="X110" s="2">
        <v>-686.99998541036598</v>
      </c>
      <c r="Z110" s="2">
        <v>-3.2</v>
      </c>
      <c r="AA110" s="2">
        <v>-28.386172916753399</v>
      </c>
      <c r="AB110" s="2">
        <f t="shared" si="5"/>
        <v>0</v>
      </c>
      <c r="AC110" s="2">
        <f t="shared" si="6"/>
        <v>-2508.0033451299701</v>
      </c>
      <c r="AD110" s="2">
        <f t="shared" si="8"/>
        <v>-3.3735852866811957E-6</v>
      </c>
      <c r="AE110"/>
    </row>
    <row r="111" spans="1:31" x14ac:dyDescent="0.3">
      <c r="A111" s="3">
        <v>4</v>
      </c>
      <c r="B111" s="2" t="s">
        <v>34</v>
      </c>
      <c r="C111" s="2" t="s">
        <v>23</v>
      </c>
      <c r="D111" s="2" t="s">
        <v>30</v>
      </c>
      <c r="E111" s="2">
        <v>-3.94</v>
      </c>
      <c r="F111" s="2">
        <v>-451.1</v>
      </c>
      <c r="G111" s="2">
        <v>-370.1</v>
      </c>
      <c r="H111" s="2">
        <v>-583.5</v>
      </c>
      <c r="I111" s="2">
        <v>41040</v>
      </c>
      <c r="J111" s="2">
        <v>342.2</v>
      </c>
      <c r="K111" s="2">
        <v>-424.7</v>
      </c>
      <c r="L111" s="2">
        <v>-545.4</v>
      </c>
      <c r="M111" s="2">
        <f t="shared" si="9"/>
        <v>-93.42857142857153</v>
      </c>
      <c r="N111" s="2">
        <v>-1700</v>
      </c>
      <c r="O111" s="2">
        <v>0.11600000000000001</v>
      </c>
      <c r="S111" s="2">
        <v>1</v>
      </c>
      <c r="T111" s="2">
        <v>0</v>
      </c>
      <c r="U111" s="9">
        <v>-3.94687112069039E-2</v>
      </c>
      <c r="V111" s="2">
        <v>0</v>
      </c>
      <c r="W111" s="2">
        <v>2473.6533458747899</v>
      </c>
      <c r="X111" s="2">
        <v>-686.99998504233895</v>
      </c>
      <c r="Z111" s="2">
        <v>-3.3</v>
      </c>
      <c r="AA111" s="2">
        <v>-27.9016648567031</v>
      </c>
      <c r="AB111" s="2">
        <f t="shared" si="5"/>
        <v>0</v>
      </c>
      <c r="AC111" s="2">
        <f t="shared" si="6"/>
        <v>-2473.6533458747899</v>
      </c>
      <c r="AD111" s="2">
        <f t="shared" si="8"/>
        <v>-3.9869547663329336E-6</v>
      </c>
      <c r="AE111"/>
    </row>
    <row r="112" spans="1:31" x14ac:dyDescent="0.3">
      <c r="A112" s="3">
        <v>4</v>
      </c>
      <c r="B112" s="2" t="s">
        <v>34</v>
      </c>
      <c r="C112" s="2" t="s">
        <v>23</v>
      </c>
      <c r="D112" s="2" t="s">
        <v>30</v>
      </c>
      <c r="E112" s="2">
        <v>-4.29</v>
      </c>
      <c r="F112" s="2">
        <v>-303.2</v>
      </c>
      <c r="G112" s="2">
        <v>-251</v>
      </c>
      <c r="H112" s="2">
        <v>-393.6</v>
      </c>
      <c r="I112" s="2">
        <v>32620</v>
      </c>
      <c r="J112" s="2">
        <v>319.3</v>
      </c>
      <c r="K112" s="2">
        <v>-396.2</v>
      </c>
      <c r="L112" s="2">
        <v>-508.8</v>
      </c>
      <c r="M112" s="2">
        <f t="shared" si="9"/>
        <v>-104.57142857142844</v>
      </c>
      <c r="N112" s="2">
        <v>-1690</v>
      </c>
      <c r="O112" s="2">
        <v>9.1999999999999998E-2</v>
      </c>
      <c r="S112" s="2">
        <v>0.95000000000000795</v>
      </c>
      <c r="T112" s="2">
        <v>0</v>
      </c>
      <c r="U112" s="9">
        <v>-3.9302041961375898E-2</v>
      </c>
      <c r="V112" s="2">
        <v>0</v>
      </c>
      <c r="W112" s="2">
        <v>2439.3033466257398</v>
      </c>
      <c r="X112" s="2">
        <v>-686.99998461297503</v>
      </c>
      <c r="Z112" s="2">
        <v>-3.4</v>
      </c>
      <c r="AA112" s="2">
        <v>-27.4132031599021</v>
      </c>
      <c r="AB112" s="2">
        <f t="shared" si="5"/>
        <v>0</v>
      </c>
      <c r="AC112" s="2">
        <f t="shared" si="6"/>
        <v>-2439.3033466257398</v>
      </c>
      <c r="AD112" s="2">
        <f t="shared" si="8"/>
        <v>-4.2936596855724887E-6</v>
      </c>
      <c r="AE112"/>
    </row>
    <row r="113" spans="1:31" x14ac:dyDescent="0.3">
      <c r="A113" s="3">
        <v>4</v>
      </c>
      <c r="B113" s="2" t="s">
        <v>34</v>
      </c>
      <c r="C113" s="2" t="s">
        <v>23</v>
      </c>
      <c r="D113" s="2" t="s">
        <v>30</v>
      </c>
      <c r="E113" s="2">
        <v>-4.6500000000000004</v>
      </c>
      <c r="F113" s="2">
        <v>-165.9</v>
      </c>
      <c r="G113" s="2">
        <v>-140.4</v>
      </c>
      <c r="H113" s="2">
        <v>-217.3</v>
      </c>
      <c r="I113" s="2">
        <v>24770</v>
      </c>
      <c r="J113" s="2">
        <v>294.10000000000002</v>
      </c>
      <c r="K113" s="2">
        <v>-364.7</v>
      </c>
      <c r="L113" s="2">
        <v>-468.5</v>
      </c>
      <c r="M113" s="2">
        <f t="shared" si="9"/>
        <v>-111.94444444444437</v>
      </c>
      <c r="N113" s="2">
        <v>-1670</v>
      </c>
      <c r="O113" s="2">
        <v>7.0000000000000007E-2</v>
      </c>
      <c r="S113" s="2">
        <v>0.90000000000000802</v>
      </c>
      <c r="T113" s="2">
        <v>0</v>
      </c>
      <c r="U113" s="9">
        <v>-3.91326132290633E-2</v>
      </c>
      <c r="V113" s="2">
        <v>0</v>
      </c>
      <c r="W113" s="2">
        <v>2404.9533474134901</v>
      </c>
      <c r="X113" s="2">
        <v>-686.99998418360701</v>
      </c>
      <c r="Z113" s="2">
        <v>-3.5</v>
      </c>
      <c r="AA113" s="2">
        <v>-26.921066538865599</v>
      </c>
      <c r="AB113" s="2">
        <f t="shared" si="5"/>
        <v>0</v>
      </c>
      <c r="AC113" s="2">
        <f t="shared" si="6"/>
        <v>-2404.9533474134901</v>
      </c>
      <c r="AD113" s="2">
        <f t="shared" si="8"/>
        <v>-2.4535199827369049E-6</v>
      </c>
      <c r="AE113"/>
    </row>
    <row r="114" spans="1:31" x14ac:dyDescent="0.3">
      <c r="A114" s="3">
        <v>4</v>
      </c>
      <c r="B114" s="2" t="s">
        <v>34</v>
      </c>
      <c r="C114" s="2" t="s">
        <v>23</v>
      </c>
      <c r="D114" s="2" t="s">
        <v>30</v>
      </c>
      <c r="E114" s="2">
        <v>-5</v>
      </c>
      <c r="F114" s="2">
        <v>-40.31</v>
      </c>
      <c r="G114" s="2">
        <v>-39.07</v>
      </c>
      <c r="H114" s="2">
        <v>-56.14</v>
      </c>
      <c r="I114" s="2">
        <v>17550</v>
      </c>
      <c r="J114" s="2">
        <v>266.60000000000002</v>
      </c>
      <c r="K114" s="2">
        <v>-330.5</v>
      </c>
      <c r="L114" s="2">
        <v>-424.6</v>
      </c>
      <c r="M114" s="2">
        <f t="shared" si="9"/>
        <v>-125.42857142857149</v>
      </c>
      <c r="N114" s="2">
        <v>-1640</v>
      </c>
      <c r="O114" s="2">
        <v>4.9000000000000002E-2</v>
      </c>
      <c r="S114" s="2">
        <v>0.85000000000000797</v>
      </c>
      <c r="T114" s="2">
        <v>0</v>
      </c>
      <c r="U114" s="9">
        <v>-3.8960463868753299E-2</v>
      </c>
      <c r="V114" s="2">
        <v>0</v>
      </c>
      <c r="W114" s="2">
        <v>2370.6033482073699</v>
      </c>
      <c r="X114" s="2">
        <v>-686.99998412227103</v>
      </c>
      <c r="Z114" s="2">
        <v>-3.6</v>
      </c>
      <c r="AA114" s="2">
        <v>-26.425530031285302</v>
      </c>
      <c r="AB114" s="2">
        <f t="shared" si="5"/>
        <v>0</v>
      </c>
      <c r="AC114" s="2">
        <f t="shared" si="6"/>
        <v>-2370.6033482073699</v>
      </c>
      <c r="AD114" s="2">
        <f t="shared" si="8"/>
        <v>-9.2004029283998449E-7</v>
      </c>
      <c r="AE114"/>
    </row>
    <row r="115" spans="1:31" x14ac:dyDescent="0.3">
      <c r="A115" s="3">
        <v>4</v>
      </c>
      <c r="B115" s="2" t="s">
        <v>34</v>
      </c>
      <c r="C115" s="2" t="s">
        <v>23</v>
      </c>
      <c r="D115" s="2" t="s">
        <v>30</v>
      </c>
      <c r="E115" s="2">
        <v>-5.41</v>
      </c>
      <c r="F115" s="2">
        <v>90.91</v>
      </c>
      <c r="G115" s="2">
        <v>66.83</v>
      </c>
      <c r="H115" s="2">
        <v>112.8</v>
      </c>
      <c r="I115" s="2">
        <v>19610</v>
      </c>
      <c r="J115" s="2">
        <v>233.9</v>
      </c>
      <c r="K115" s="2">
        <v>-289.60000000000002</v>
      </c>
      <c r="L115" s="2">
        <v>-372.3</v>
      </c>
      <c r="M115" s="2">
        <f t="shared" si="9"/>
        <v>-127.56097560975608</v>
      </c>
      <c r="N115" s="2">
        <v>-1610</v>
      </c>
      <c r="O115" s="2">
        <v>5.5E-2</v>
      </c>
      <c r="S115" s="2">
        <v>0.80000000000000804</v>
      </c>
      <c r="T115" s="2">
        <v>0</v>
      </c>
      <c r="U115" s="9">
        <v>-3.8785632739232502E-2</v>
      </c>
      <c r="V115" s="2">
        <v>0</v>
      </c>
      <c r="W115" s="2">
        <v>2336.2533490012602</v>
      </c>
      <c r="X115" s="2">
        <v>-686.99998399959895</v>
      </c>
      <c r="Z115" s="2">
        <v>-3.7</v>
      </c>
      <c r="AA115" s="2">
        <v>-25.926864876787398</v>
      </c>
      <c r="AB115" s="2">
        <f t="shared" si="5"/>
        <v>0</v>
      </c>
      <c r="AC115" s="2">
        <f t="shared" si="6"/>
        <v>-2336.2533490012602</v>
      </c>
      <c r="AD115" s="2">
        <f t="shared" si="8"/>
        <v>-1.5334302361225148E-6</v>
      </c>
      <c r="AE115"/>
    </row>
    <row r="116" spans="1:31" x14ac:dyDescent="0.3">
      <c r="A116" s="3">
        <v>4</v>
      </c>
      <c r="B116" s="2" t="s">
        <v>34</v>
      </c>
      <c r="C116" s="2" t="s">
        <v>23</v>
      </c>
      <c r="D116" s="2" t="s">
        <v>30</v>
      </c>
      <c r="E116" s="2">
        <v>-5.83</v>
      </c>
      <c r="F116" s="2">
        <v>205.7</v>
      </c>
      <c r="G116" s="2">
        <v>159.5</v>
      </c>
      <c r="H116" s="2">
        <v>260.3</v>
      </c>
      <c r="I116" s="2">
        <v>25750</v>
      </c>
      <c r="J116" s="2">
        <v>203.1</v>
      </c>
      <c r="K116" s="2">
        <v>-251.3</v>
      </c>
      <c r="L116" s="2">
        <v>-323.10000000000002</v>
      </c>
      <c r="M116" s="2">
        <f t="shared" si="9"/>
        <v>-117.14285714285714</v>
      </c>
      <c r="N116" s="2">
        <v>-1590</v>
      </c>
      <c r="O116" s="2">
        <v>7.2999999999999995E-2</v>
      </c>
      <c r="S116" s="2">
        <v>0.75000000000000799</v>
      </c>
      <c r="T116" s="2">
        <v>0</v>
      </c>
      <c r="U116" s="9">
        <v>-3.8608158699287902E-2</v>
      </c>
      <c r="V116" s="2">
        <v>0</v>
      </c>
      <c r="W116" s="2">
        <v>2301.90334980741</v>
      </c>
      <c r="X116" s="2">
        <v>-686.99998381558498</v>
      </c>
      <c r="Z116" s="2">
        <v>-3.8</v>
      </c>
      <c r="AA116" s="2">
        <v>-25.4253383936794</v>
      </c>
      <c r="AB116" s="2">
        <f t="shared" si="5"/>
        <v>0</v>
      </c>
      <c r="AC116" s="2">
        <f t="shared" si="6"/>
        <v>-2301.90334980741</v>
      </c>
      <c r="AD116" s="2">
        <f t="shared" si="8"/>
        <v>-2.4535245302104192E-6</v>
      </c>
      <c r="AE116"/>
    </row>
    <row r="117" spans="1:31" x14ac:dyDescent="0.3">
      <c r="A117" s="3">
        <v>4</v>
      </c>
      <c r="B117" s="2" t="s">
        <v>34</v>
      </c>
      <c r="C117" s="2" t="s">
        <v>23</v>
      </c>
      <c r="D117" s="2" t="s">
        <v>30</v>
      </c>
      <c r="E117" s="2">
        <v>-6.24</v>
      </c>
      <c r="F117" s="2">
        <v>305.10000000000002</v>
      </c>
      <c r="G117" s="2">
        <v>239.9</v>
      </c>
      <c r="H117" s="2">
        <v>388.1</v>
      </c>
      <c r="I117" s="2">
        <v>31030</v>
      </c>
      <c r="J117" s="2">
        <v>174.9</v>
      </c>
      <c r="K117" s="2">
        <v>-216</v>
      </c>
      <c r="L117" s="2">
        <v>-277.89999999999998</v>
      </c>
      <c r="M117" s="2">
        <f t="shared" si="9"/>
        <v>-110.24390243902447</v>
      </c>
      <c r="N117" s="2">
        <v>-1550</v>
      </c>
      <c r="O117" s="2">
        <v>8.6999999999999994E-2</v>
      </c>
      <c r="S117" s="2">
        <v>0.70000000000000895</v>
      </c>
      <c r="T117" s="2">
        <v>0</v>
      </c>
      <c r="U117" s="9">
        <v>-3.8428080607706298E-2</v>
      </c>
      <c r="V117" s="2">
        <v>0</v>
      </c>
      <c r="W117" s="2">
        <v>2267.5533506196998</v>
      </c>
      <c r="X117" s="2">
        <v>-686.99998350889405</v>
      </c>
      <c r="Z117" s="2">
        <v>-3.9</v>
      </c>
      <c r="AA117" s="2">
        <v>-24.921213855710398</v>
      </c>
      <c r="AB117" s="2">
        <f t="shared" si="5"/>
        <v>0</v>
      </c>
      <c r="AC117" s="2">
        <f t="shared" si="6"/>
        <v>-2267.5533506196998</v>
      </c>
      <c r="AD117" s="2">
        <f t="shared" si="8"/>
        <v>-2.7602050067798675E-6</v>
      </c>
      <c r="AE117"/>
    </row>
    <row r="118" spans="1:31" x14ac:dyDescent="0.3">
      <c r="A118" s="3">
        <v>4</v>
      </c>
      <c r="B118" s="2" t="s">
        <v>34</v>
      </c>
      <c r="C118" s="2" t="s">
        <v>23</v>
      </c>
      <c r="D118" s="2" t="s">
        <v>30</v>
      </c>
      <c r="E118" s="2">
        <v>-6.68</v>
      </c>
      <c r="F118" s="2">
        <v>395.6</v>
      </c>
      <c r="G118" s="2">
        <v>313.3</v>
      </c>
      <c r="H118" s="2">
        <v>504.6</v>
      </c>
      <c r="I118" s="2">
        <v>35800</v>
      </c>
      <c r="J118" s="2">
        <v>147.9</v>
      </c>
      <c r="K118" s="2">
        <v>-182.4</v>
      </c>
      <c r="L118" s="2">
        <v>-234.8</v>
      </c>
      <c r="M118" s="2">
        <f t="shared" si="9"/>
        <v>-97.954545454545482</v>
      </c>
      <c r="N118" s="2">
        <v>-1520</v>
      </c>
      <c r="O118" s="2">
        <v>0.10100000000000001</v>
      </c>
      <c r="S118" s="2">
        <v>0.65000000000000902</v>
      </c>
      <c r="T118" s="2">
        <v>0</v>
      </c>
      <c r="U118" s="9">
        <v>-3.8245437323274498E-2</v>
      </c>
      <c r="V118" s="2">
        <v>0</v>
      </c>
      <c r="W118" s="2">
        <v>2233.2033514565301</v>
      </c>
      <c r="X118" s="2">
        <v>-686.99998326354398</v>
      </c>
      <c r="Z118" s="2">
        <v>-4</v>
      </c>
      <c r="AA118" s="2">
        <v>-24.414750368864201</v>
      </c>
      <c r="AB118" s="2">
        <f t="shared" si="5"/>
        <v>0</v>
      </c>
      <c r="AC118" s="2">
        <f t="shared" si="6"/>
        <v>-2233.2033514565301</v>
      </c>
      <c r="AD118" s="2">
        <f t="shared" si="8"/>
        <v>-9.2006530394428537E-7</v>
      </c>
      <c r="AE118"/>
    </row>
    <row r="119" spans="1:31" x14ac:dyDescent="0.3">
      <c r="A119" s="3">
        <v>4</v>
      </c>
      <c r="B119" s="2" t="s">
        <v>34</v>
      </c>
      <c r="C119" s="2" t="s">
        <v>23</v>
      </c>
      <c r="D119" s="2" t="s">
        <v>30</v>
      </c>
      <c r="E119" s="2">
        <v>-7.12</v>
      </c>
      <c r="F119" s="2">
        <v>472.2</v>
      </c>
      <c r="G119" s="2">
        <v>375.4</v>
      </c>
      <c r="H119" s="2">
        <v>603.20000000000005</v>
      </c>
      <c r="I119" s="2">
        <v>39770</v>
      </c>
      <c r="J119" s="2">
        <v>124.5</v>
      </c>
      <c r="K119" s="2">
        <v>-153.19999999999999</v>
      </c>
      <c r="L119" s="2">
        <v>-197.4</v>
      </c>
      <c r="M119" s="2">
        <f t="shared" si="9"/>
        <v>-84.999999999999943</v>
      </c>
      <c r="N119" s="2">
        <v>-1490</v>
      </c>
      <c r="O119" s="2">
        <v>0.112</v>
      </c>
      <c r="S119" s="2">
        <v>0.60000000000000897</v>
      </c>
      <c r="T119" s="2">
        <v>0</v>
      </c>
      <c r="U119" s="9">
        <v>-3.80602677047795E-2</v>
      </c>
      <c r="V119" s="2">
        <v>0</v>
      </c>
      <c r="W119" s="2">
        <v>2198.8533522933499</v>
      </c>
      <c r="X119" s="2">
        <v>-686.99998332488099</v>
      </c>
      <c r="Z119" s="2">
        <v>-4.0999999999999996</v>
      </c>
      <c r="AA119" s="2">
        <v>-23.906202748207701</v>
      </c>
      <c r="AB119" s="2">
        <f t="shared" si="5"/>
        <v>0</v>
      </c>
      <c r="AC119" s="2">
        <f t="shared" si="6"/>
        <v>-2198.8533522933499</v>
      </c>
      <c r="AD119" s="2">
        <f t="shared" si="8"/>
        <v>-9.2006473551009464E-7</v>
      </c>
      <c r="AE119"/>
    </row>
    <row r="120" spans="1:31" x14ac:dyDescent="0.3">
      <c r="A120" s="3">
        <v>4</v>
      </c>
      <c r="B120" s="2" t="s">
        <v>34</v>
      </c>
      <c r="C120" s="2" t="s">
        <v>23</v>
      </c>
      <c r="D120" s="2" t="s">
        <v>30</v>
      </c>
      <c r="E120" s="2">
        <v>-7.56</v>
      </c>
      <c r="F120" s="2">
        <v>536.9</v>
      </c>
      <c r="G120" s="2">
        <v>428</v>
      </c>
      <c r="H120" s="2">
        <v>686.6</v>
      </c>
      <c r="I120" s="2">
        <v>43070</v>
      </c>
      <c r="J120" s="2">
        <v>105</v>
      </c>
      <c r="K120" s="2">
        <v>-128.9</v>
      </c>
      <c r="L120" s="2">
        <v>-166.3</v>
      </c>
      <c r="M120" s="2">
        <f t="shared" si="9"/>
        <v>-70.681818181818244</v>
      </c>
      <c r="N120" s="2">
        <v>-1450</v>
      </c>
      <c r="O120" s="2">
        <v>0.121</v>
      </c>
      <c r="S120" s="2">
        <v>0.55000000000000904</v>
      </c>
      <c r="T120" s="2">
        <v>0</v>
      </c>
      <c r="U120" s="9">
        <v>-3.7872610611008002E-2</v>
      </c>
      <c r="V120" s="2">
        <v>0</v>
      </c>
      <c r="W120" s="2">
        <v>2164.5033531240401</v>
      </c>
      <c r="X120" s="2">
        <v>-686.99998307953103</v>
      </c>
      <c r="Z120" s="2">
        <v>-4.2</v>
      </c>
      <c r="AA120" s="2">
        <v>-23.395821394812899</v>
      </c>
      <c r="AB120" s="2">
        <f t="shared" si="5"/>
        <v>0</v>
      </c>
      <c r="AC120" s="2">
        <f t="shared" si="6"/>
        <v>-2164.5033531240401</v>
      </c>
      <c r="AD120" s="2">
        <f t="shared" si="8"/>
        <v>-2.7601799956755687E-6</v>
      </c>
      <c r="AE120"/>
    </row>
    <row r="121" spans="1:31" x14ac:dyDescent="0.3">
      <c r="A121" s="3">
        <v>4</v>
      </c>
      <c r="B121" s="2" t="s">
        <v>34</v>
      </c>
      <c r="C121" s="2" t="s">
        <v>23</v>
      </c>
      <c r="D121" s="2" t="s">
        <v>30</v>
      </c>
      <c r="E121" s="2">
        <v>-8</v>
      </c>
      <c r="F121" s="2">
        <v>591.9</v>
      </c>
      <c r="G121" s="2">
        <v>472.9</v>
      </c>
      <c r="H121" s="2">
        <v>757.6</v>
      </c>
      <c r="I121" s="2">
        <v>45820</v>
      </c>
      <c r="J121" s="2">
        <v>89.78</v>
      </c>
      <c r="K121" s="2">
        <v>-109.9</v>
      </c>
      <c r="L121" s="2">
        <v>-141.9</v>
      </c>
      <c r="M121" s="2">
        <f t="shared" si="9"/>
        <v>-55.454545454545418</v>
      </c>
      <c r="N121" s="2">
        <v>-1410</v>
      </c>
      <c r="O121" s="2">
        <v>0.129</v>
      </c>
      <c r="S121" s="2">
        <v>0.50000000000000899</v>
      </c>
      <c r="T121" s="2">
        <v>0</v>
      </c>
      <c r="U121" s="9">
        <v>-3.7682504900746802E-2</v>
      </c>
      <c r="V121" s="2">
        <v>0</v>
      </c>
      <c r="W121" s="2">
        <v>2130.1533539853899</v>
      </c>
      <c r="X121" s="2">
        <v>-686.99998277284499</v>
      </c>
      <c r="Z121" s="2">
        <v>-4.3</v>
      </c>
      <c r="AA121" s="2">
        <v>-22.883852172771501</v>
      </c>
      <c r="AB121" s="2">
        <f t="shared" si="5"/>
        <v>0</v>
      </c>
      <c r="AC121" s="2">
        <f t="shared" si="6"/>
        <v>-2130.1533539853899</v>
      </c>
      <c r="AD121" s="2">
        <f t="shared" si="8"/>
        <v>-2.4535199827369049E-6</v>
      </c>
      <c r="AE121"/>
    </row>
    <row r="122" spans="1:31" x14ac:dyDescent="0.3">
      <c r="A122" s="3">
        <v>4</v>
      </c>
      <c r="B122" s="2" t="s">
        <v>34</v>
      </c>
      <c r="C122" s="2" t="s">
        <v>23</v>
      </c>
      <c r="D122" s="2" t="s">
        <v>30</v>
      </c>
      <c r="E122" s="2">
        <v>-8.41</v>
      </c>
      <c r="F122" s="2">
        <v>606.70000000000005</v>
      </c>
      <c r="G122" s="2">
        <v>485.3</v>
      </c>
      <c r="H122" s="2">
        <v>776.9</v>
      </c>
      <c r="I122" s="2">
        <v>46290</v>
      </c>
      <c r="J122" s="2">
        <v>-96.56</v>
      </c>
      <c r="K122" s="2">
        <v>122.2</v>
      </c>
      <c r="L122" s="2">
        <v>155.69999999999999</v>
      </c>
      <c r="M122" s="2">
        <f t="shared" si="9"/>
        <v>-725.85365853658516</v>
      </c>
      <c r="N122" s="2">
        <v>-1370</v>
      </c>
      <c r="O122" s="2">
        <v>0.13</v>
      </c>
      <c r="S122" s="2">
        <v>0.450000000000009</v>
      </c>
      <c r="T122" s="2">
        <v>0</v>
      </c>
      <c r="U122" s="9">
        <v>-3.7489989432782797E-2</v>
      </c>
      <c r="V122" s="2">
        <v>0</v>
      </c>
      <c r="W122" s="2">
        <v>2095.8033548467502</v>
      </c>
      <c r="X122" s="2">
        <v>-686.99998258882704</v>
      </c>
      <c r="Z122" s="2">
        <v>-4.4000000000000004</v>
      </c>
      <c r="AA122" s="2">
        <v>-22.370536286319101</v>
      </c>
      <c r="AB122" s="2">
        <f t="shared" si="5"/>
        <v>0</v>
      </c>
      <c r="AC122" s="2">
        <f t="shared" si="6"/>
        <v>-2095.8033548467502</v>
      </c>
      <c r="AD122" s="2">
        <f t="shared" si="8"/>
        <v>-2.1468400746016393E-6</v>
      </c>
      <c r="AE122"/>
    </row>
    <row r="123" spans="1:31" x14ac:dyDescent="0.3">
      <c r="A123" s="3">
        <v>4</v>
      </c>
      <c r="B123" s="2" t="s">
        <v>34</v>
      </c>
      <c r="C123" s="2" t="s">
        <v>23</v>
      </c>
      <c r="D123" s="2" t="s">
        <v>30</v>
      </c>
      <c r="E123" s="2">
        <v>-8.83</v>
      </c>
      <c r="F123" s="2">
        <v>481.5</v>
      </c>
      <c r="G123" s="2">
        <v>385.5</v>
      </c>
      <c r="H123" s="2">
        <v>616.79999999999995</v>
      </c>
      <c r="I123" s="2">
        <v>38900</v>
      </c>
      <c r="J123" s="2">
        <v>-364.5</v>
      </c>
      <c r="K123" s="2">
        <v>455.9</v>
      </c>
      <c r="L123" s="2">
        <v>583.70000000000005</v>
      </c>
      <c r="M123" s="2">
        <f t="shared" si="9"/>
        <v>-1019.0476190476194</v>
      </c>
      <c r="N123" s="2">
        <v>-1330</v>
      </c>
      <c r="O123" s="2">
        <v>0.11</v>
      </c>
      <c r="S123" s="2">
        <v>0.40000000000001001</v>
      </c>
      <c r="T123" s="2">
        <v>0</v>
      </c>
      <c r="U123" s="9">
        <v>-3.7295103065902703E-2</v>
      </c>
      <c r="V123" s="2">
        <v>0</v>
      </c>
      <c r="W123" s="2">
        <v>2061.4533557265099</v>
      </c>
      <c r="X123" s="2">
        <v>-686.99998234347697</v>
      </c>
      <c r="Z123" s="2">
        <v>-4.5</v>
      </c>
      <c r="AA123" s="2">
        <v>-21.856110157086398</v>
      </c>
      <c r="AB123" s="2">
        <f t="shared" si="5"/>
        <v>0</v>
      </c>
      <c r="AC123" s="2">
        <f t="shared" si="6"/>
        <v>-2061.4533557265099</v>
      </c>
      <c r="AD123" s="2">
        <f t="shared" si="8"/>
        <v>-2.760179995675581E-6</v>
      </c>
      <c r="AE123"/>
    </row>
    <row r="124" spans="1:31" x14ac:dyDescent="0.3">
      <c r="A124" s="3">
        <v>4</v>
      </c>
      <c r="B124" s="2" t="s">
        <v>34</v>
      </c>
      <c r="C124" s="2" t="s">
        <v>23</v>
      </c>
      <c r="D124" s="2" t="s">
        <v>30</v>
      </c>
      <c r="E124" s="2">
        <v>-9.24</v>
      </c>
      <c r="F124" s="2">
        <v>267.5</v>
      </c>
      <c r="G124" s="2">
        <v>214.2</v>
      </c>
      <c r="H124" s="2">
        <v>342.7</v>
      </c>
      <c r="I124" s="2">
        <v>26520</v>
      </c>
      <c r="J124" s="2">
        <v>-438.2</v>
      </c>
      <c r="K124" s="2">
        <v>547.4</v>
      </c>
      <c r="L124" s="2">
        <v>701.2</v>
      </c>
      <c r="M124" s="2">
        <f t="shared" si="9"/>
        <v>-286.58536585365846</v>
      </c>
      <c r="N124" s="2">
        <v>-1280</v>
      </c>
      <c r="O124" s="2">
        <v>7.4999999999999997E-2</v>
      </c>
      <c r="S124" s="2">
        <v>0.35000000000001003</v>
      </c>
      <c r="T124" s="2">
        <v>0</v>
      </c>
      <c r="U124" s="9">
        <v>-3.7097884658893299E-2</v>
      </c>
      <c r="V124" s="2">
        <v>0</v>
      </c>
      <c r="W124" s="2">
        <v>2027.1033566123999</v>
      </c>
      <c r="X124" s="2">
        <v>-686.99998203679104</v>
      </c>
      <c r="Z124" s="2">
        <v>-4.5999999999999996</v>
      </c>
      <c r="AA124" s="2">
        <v>-21.340805383800401</v>
      </c>
      <c r="AB124" s="2">
        <f t="shared" si="5"/>
        <v>0</v>
      </c>
      <c r="AC124" s="2">
        <f t="shared" si="6"/>
        <v>-2027.1033566123999</v>
      </c>
      <c r="AD124" s="2">
        <f t="shared" si="8"/>
        <v>-3.3735648230503982E-6</v>
      </c>
      <c r="AE124"/>
    </row>
    <row r="125" spans="1:31" x14ac:dyDescent="0.3">
      <c r="A125" s="3">
        <v>4</v>
      </c>
      <c r="B125" s="2" t="s">
        <v>34</v>
      </c>
      <c r="C125" s="2" t="s">
        <v>23</v>
      </c>
      <c r="D125" s="2" t="s">
        <v>30</v>
      </c>
      <c r="E125" s="2">
        <v>-9.5</v>
      </c>
      <c r="F125" s="2">
        <v>134</v>
      </c>
      <c r="G125" s="2">
        <v>107.3</v>
      </c>
      <c r="H125" s="2">
        <v>171.7</v>
      </c>
      <c r="I125" s="2">
        <v>18780</v>
      </c>
      <c r="J125" s="2">
        <v>-377.1</v>
      </c>
      <c r="K125" s="2">
        <v>470.8</v>
      </c>
      <c r="L125" s="2">
        <v>603.20000000000005</v>
      </c>
      <c r="M125" s="2">
        <f t="shared" si="9"/>
        <v>376.92307692307725</v>
      </c>
      <c r="N125" s="2">
        <v>-1240</v>
      </c>
      <c r="O125" s="2">
        <v>5.2999999999999999E-2</v>
      </c>
      <c r="S125" s="2">
        <v>0.30000000000000998</v>
      </c>
      <c r="T125" s="2">
        <v>0</v>
      </c>
      <c r="U125" s="9">
        <v>-3.68983730705413E-2</v>
      </c>
      <c r="V125" s="2">
        <v>0</v>
      </c>
      <c r="W125" s="2">
        <v>1992.7533575228299</v>
      </c>
      <c r="X125" s="2">
        <v>-686.99998166876401</v>
      </c>
      <c r="Z125" s="2">
        <v>-4.7</v>
      </c>
      <c r="AA125" s="2">
        <v>-20.824848711419499</v>
      </c>
      <c r="AB125" s="2">
        <f t="shared" si="5"/>
        <v>0</v>
      </c>
      <c r="AC125" s="2">
        <f t="shared" si="6"/>
        <v>-1992.7533575228299</v>
      </c>
      <c r="AD125" s="2">
        <f t="shared" si="8"/>
        <v>-3.6802703107241507E-6</v>
      </c>
      <c r="AE125"/>
    </row>
    <row r="126" spans="1:31" x14ac:dyDescent="0.3">
      <c r="A126" s="3">
        <v>4</v>
      </c>
      <c r="B126" s="2" t="s">
        <v>34</v>
      </c>
      <c r="C126" s="2" t="s">
        <v>23</v>
      </c>
      <c r="D126" s="2" t="s">
        <v>30</v>
      </c>
      <c r="E126" s="2">
        <v>-9.75</v>
      </c>
      <c r="F126" s="2">
        <v>37.65</v>
      </c>
      <c r="G126" s="2">
        <v>30.16</v>
      </c>
      <c r="H126" s="2">
        <v>48.24</v>
      </c>
      <c r="I126" s="2">
        <v>13120</v>
      </c>
      <c r="J126" s="2">
        <v>-233.2</v>
      </c>
      <c r="K126" s="2">
        <v>291.10000000000002</v>
      </c>
      <c r="L126" s="2">
        <v>373</v>
      </c>
      <c r="M126" s="2">
        <f t="shared" si="9"/>
        <v>920.80000000000018</v>
      </c>
      <c r="N126" s="2">
        <v>-1210</v>
      </c>
      <c r="O126" s="2">
        <v>3.6999999999999998E-2</v>
      </c>
      <c r="S126" s="2">
        <v>0.25000000000000999</v>
      </c>
      <c r="T126" s="2">
        <v>0</v>
      </c>
      <c r="U126" s="9">
        <v>-3.6696607159633597E-2</v>
      </c>
      <c r="V126" s="2">
        <v>0</v>
      </c>
      <c r="W126" s="2">
        <v>1958.4033584455301</v>
      </c>
      <c r="X126" s="2">
        <v>-686.99998130073698</v>
      </c>
      <c r="Z126" s="2">
        <v>-4.8</v>
      </c>
      <c r="AA126" s="2">
        <v>-20.3084620058696</v>
      </c>
      <c r="AB126" s="2">
        <f t="shared" si="5"/>
        <v>0</v>
      </c>
      <c r="AC126" s="2">
        <f t="shared" si="6"/>
        <v>-1958.4033584455301</v>
      </c>
      <c r="AD126" s="2">
        <f t="shared" si="8"/>
        <v>-2.7602050067798675E-6</v>
      </c>
      <c r="AE126"/>
    </row>
    <row r="127" spans="1:31" x14ac:dyDescent="0.3">
      <c r="A127" s="3">
        <v>4</v>
      </c>
      <c r="B127" s="2" t="s">
        <v>34</v>
      </c>
      <c r="C127" s="2" t="s">
        <v>23</v>
      </c>
      <c r="D127" s="2" t="s">
        <v>30</v>
      </c>
      <c r="E127" s="2">
        <v>-10</v>
      </c>
      <c r="F127" s="2">
        <v>-1.1379999999999999</v>
      </c>
      <c r="G127" s="2">
        <v>-0.91249999999999998</v>
      </c>
      <c r="H127" s="2">
        <v>-1.4590000000000001</v>
      </c>
      <c r="I127" s="2">
        <v>10770</v>
      </c>
      <c r="J127" s="2">
        <v>0</v>
      </c>
      <c r="K127" s="2">
        <v>0</v>
      </c>
      <c r="L127" s="2">
        <v>0</v>
      </c>
      <c r="M127" s="2">
        <f t="shared" si="9"/>
        <v>1492</v>
      </c>
      <c r="N127" s="2">
        <v>-1180</v>
      </c>
      <c r="O127" s="2">
        <v>0.03</v>
      </c>
      <c r="S127" s="2">
        <v>0.20000000000001</v>
      </c>
      <c r="T127" s="2">
        <v>0</v>
      </c>
      <c r="U127" s="9">
        <v>-3.6492625784956698E-2</v>
      </c>
      <c r="V127" s="2">
        <v>0</v>
      </c>
      <c r="W127" s="2">
        <v>1924.0533593927601</v>
      </c>
      <c r="X127" s="2">
        <v>-686.99998111672301</v>
      </c>
      <c r="Z127" s="2">
        <v>-4.9000000000000004</v>
      </c>
      <c r="AA127" s="2">
        <v>-19.791862234438899</v>
      </c>
      <c r="AB127" s="2">
        <f t="shared" si="5"/>
        <v>0</v>
      </c>
      <c r="AC127" s="2">
        <f t="shared" si="6"/>
        <v>-1924.0533593927601</v>
      </c>
      <c r="AD127" s="2">
        <f t="shared" si="8"/>
        <v>-2.4535097509215099E-6</v>
      </c>
      <c r="AE127"/>
    </row>
    <row r="128" spans="1:31" x14ac:dyDescent="0.3">
      <c r="S128" s="2">
        <v>0.15000000000001101</v>
      </c>
      <c r="T128" s="2">
        <v>0</v>
      </c>
      <c r="U128" s="9">
        <v>-3.6286467805297498E-2</v>
      </c>
      <c r="V128" s="2">
        <v>0</v>
      </c>
      <c r="W128" s="2">
        <v>1889.70336033386</v>
      </c>
      <c r="X128" s="2">
        <v>-686.99998081003503</v>
      </c>
      <c r="Z128" s="2">
        <v>-5</v>
      </c>
      <c r="AA128" s="2">
        <v>-19.275261451882798</v>
      </c>
      <c r="AB128" s="2">
        <f t="shared" si="5"/>
        <v>0</v>
      </c>
      <c r="AC128" s="2">
        <f t="shared" si="6"/>
        <v>-1889.70336033386</v>
      </c>
      <c r="AD128" s="2">
        <f t="shared" si="8"/>
        <v>-4.293635242902398E-6</v>
      </c>
      <c r="AE128"/>
    </row>
    <row r="129" spans="19:31" x14ac:dyDescent="0.3">
      <c r="S129" s="2">
        <v>0.100000000000011</v>
      </c>
      <c r="T129" s="2">
        <v>0</v>
      </c>
      <c r="U129" s="9">
        <v>-3.6078172079442597E-2</v>
      </c>
      <c r="V129" s="2">
        <v>0</v>
      </c>
      <c r="W129" s="2">
        <v>1855.35336131176</v>
      </c>
      <c r="X129" s="2">
        <v>-686.99998025799596</v>
      </c>
      <c r="Z129" s="2">
        <v>-5.0999999999999996</v>
      </c>
      <c r="AA129" s="2">
        <v>-18.758866792284898</v>
      </c>
      <c r="AB129" s="2">
        <f t="shared" si="5"/>
        <v>0</v>
      </c>
      <c r="AC129" s="2">
        <f t="shared" si="6"/>
        <v>-1855.35336131176</v>
      </c>
      <c r="AD129" s="2">
        <f t="shared" si="8"/>
        <v>-4.6003299303265479E-6</v>
      </c>
      <c r="AE129"/>
    </row>
    <row r="130" spans="19:31" x14ac:dyDescent="0.3">
      <c r="S130" s="2">
        <v>5.0000000000011299E-2</v>
      </c>
      <c r="T130" s="2">
        <v>0</v>
      </c>
      <c r="U130" s="9">
        <v>-3.5867777466178703E-2</v>
      </c>
      <c r="V130" s="2">
        <v>0</v>
      </c>
      <c r="W130" s="2">
        <v>1821.0033623080601</v>
      </c>
      <c r="X130" s="2">
        <v>-686.99997988996904</v>
      </c>
      <c r="Z130" s="2">
        <v>-5.2</v>
      </c>
      <c r="AA130" s="2">
        <v>-18.242880466718201</v>
      </c>
      <c r="AB130" s="2">
        <f t="shared" si="5"/>
        <v>0</v>
      </c>
      <c r="AC130" s="2">
        <f t="shared" si="6"/>
        <v>-1821.0033623080601</v>
      </c>
      <c r="AD130" s="2">
        <f t="shared" si="8"/>
        <v>-3.0668945782963394E-6</v>
      </c>
      <c r="AE130"/>
    </row>
    <row r="131" spans="19:31" x14ac:dyDescent="0.3">
      <c r="S131" s="2">
        <v>1.15463194561016E-14</v>
      </c>
      <c r="T131" s="2">
        <v>0.30138623999999298</v>
      </c>
      <c r="U131" s="9">
        <v>-3.5655322824292401E-2</v>
      </c>
      <c r="V131" s="2">
        <v>0</v>
      </c>
      <c r="W131" s="2">
        <v>1786.65336332276</v>
      </c>
      <c r="X131" s="2">
        <v>-686.99997964461704</v>
      </c>
      <c r="Z131" s="2">
        <v>-5.3</v>
      </c>
      <c r="AA131" s="2">
        <v>-17.727499835610701</v>
      </c>
      <c r="AB131" s="2">
        <f t="shared" ref="AB131:AB178" si="10">T131/0.9144</f>
        <v>0.32959999999999234</v>
      </c>
      <c r="AC131" s="2">
        <f t="shared" ref="AC131:AC178" si="11">-W131</f>
        <v>-1786.65336332276</v>
      </c>
      <c r="AD131" s="2">
        <f t="shared" si="8"/>
        <v>-0.58232359542500889</v>
      </c>
      <c r="AE131"/>
    </row>
    <row r="132" spans="19:31" x14ac:dyDescent="0.3">
      <c r="S132" s="2">
        <v>-4.99999999999882E-2</v>
      </c>
      <c r="T132" s="2">
        <v>1.5759411999999999</v>
      </c>
      <c r="U132" s="9">
        <v>-3.5440847012570303E-2</v>
      </c>
      <c r="V132" s="2">
        <v>-4.6588830377905897</v>
      </c>
      <c r="W132" s="2">
        <v>1752.3033643435899</v>
      </c>
      <c r="X132" s="2">
        <v>-686.88351517088404</v>
      </c>
      <c r="Z132" s="2">
        <v>-5.4</v>
      </c>
      <c r="AA132" s="2">
        <v>-17.212917483076101</v>
      </c>
      <c r="AB132" s="2">
        <f t="shared" si="10"/>
        <v>1.7234702537182851</v>
      </c>
      <c r="AC132" s="2">
        <f t="shared" si="11"/>
        <v>-1752.3033643435899</v>
      </c>
      <c r="AD132" s="2">
        <f t="shared" ref="AD132:AD178" si="12">(X131-X133)/(ABS(Z131-Z133))</f>
        <v>-2.3622986838603288</v>
      </c>
      <c r="AE132"/>
    </row>
    <row r="133" spans="19:31" x14ac:dyDescent="0.3">
      <c r="S133" s="2">
        <v>-9.9999999999988098E-2</v>
      </c>
      <c r="T133" s="2">
        <v>3.2899023999999999</v>
      </c>
      <c r="U133" s="9">
        <v>-3.5224388889799098E-2</v>
      </c>
      <c r="V133" s="2">
        <v>-9.5818706647441196</v>
      </c>
      <c r="W133" s="2">
        <v>1717.96501180567</v>
      </c>
      <c r="X133" s="2">
        <v>-686.52751990784498</v>
      </c>
      <c r="Z133" s="2">
        <v>-5.5</v>
      </c>
      <c r="AA133" s="2">
        <v>-16.699321294279599</v>
      </c>
      <c r="AB133" s="2">
        <f t="shared" si="10"/>
        <v>3.5978810148731406</v>
      </c>
      <c r="AC133" s="2">
        <f t="shared" si="11"/>
        <v>-1717.96501180567</v>
      </c>
      <c r="AD133" s="2">
        <f t="shared" si="12"/>
        <v>-4.8213631663100101</v>
      </c>
      <c r="AE133"/>
    </row>
    <row r="134" spans="19:31" x14ac:dyDescent="0.3">
      <c r="S134" s="2">
        <v>-0.149999999999987</v>
      </c>
      <c r="T134" s="2">
        <v>5.1418835999999999</v>
      </c>
      <c r="U134" s="9">
        <v>-3.50059873015902E-2</v>
      </c>
      <c r="V134" s="2">
        <v>-14.750847953830601</v>
      </c>
      <c r="W134" s="2">
        <v>1683.65061235281</v>
      </c>
      <c r="X134" s="2">
        <v>-685.91924253762204</v>
      </c>
      <c r="Z134" s="2">
        <v>-5.6</v>
      </c>
      <c r="AA134" s="2">
        <v>-16.186894535795201</v>
      </c>
      <c r="AB134" s="2">
        <f t="shared" si="10"/>
        <v>5.6232322834645672</v>
      </c>
      <c r="AC134" s="2">
        <f t="shared" si="11"/>
        <v>-1683.65061235281</v>
      </c>
      <c r="AD134" s="2">
        <f t="shared" si="12"/>
        <v>-7.4034144092701064</v>
      </c>
      <c r="AE134"/>
    </row>
    <row r="135" spans="19:31" x14ac:dyDescent="0.3">
      <c r="S135" s="2">
        <v>-0.19999999999998699</v>
      </c>
      <c r="T135" s="2">
        <v>7.1318847999999999</v>
      </c>
      <c r="U135" s="9">
        <v>-3.4785681066457901E-2</v>
      </c>
      <c r="V135" s="2">
        <v>-20.1476989787703</v>
      </c>
      <c r="W135" s="2">
        <v>1649.37308755191</v>
      </c>
      <c r="X135" s="2">
        <v>-685.04683702599095</v>
      </c>
      <c r="Z135" s="2">
        <v>-5.7</v>
      </c>
      <c r="AA135" s="2">
        <v>-15.6758159389063</v>
      </c>
      <c r="AB135" s="2">
        <f t="shared" si="10"/>
        <v>7.7995240594925637</v>
      </c>
      <c r="AC135" s="2">
        <f t="shared" si="11"/>
        <v>-1649.37308755191</v>
      </c>
      <c r="AD135" s="2">
        <f t="shared" si="12"/>
        <v>-10.09939282917002</v>
      </c>
      <c r="AE135"/>
    </row>
    <row r="136" spans="19:31" x14ac:dyDescent="0.3">
      <c r="S136" s="2">
        <v>-0.24999999999998701</v>
      </c>
      <c r="T136" s="2">
        <v>9.2599060000000009</v>
      </c>
      <c r="U136" s="9">
        <v>-3.4563508961201597E-2</v>
      </c>
      <c r="V136" s="2">
        <v>-25.754306596608</v>
      </c>
      <c r="W136" s="2">
        <v>1615.14592865021</v>
      </c>
      <c r="X136" s="2">
        <v>-683.89936397178803</v>
      </c>
      <c r="Z136" s="2">
        <v>-5.8</v>
      </c>
      <c r="AA136" s="2">
        <v>-15.166259785805501</v>
      </c>
      <c r="AB136" s="2">
        <f t="shared" si="10"/>
        <v>10.126756342957131</v>
      </c>
      <c r="AC136" s="2">
        <f t="shared" si="11"/>
        <v>-1615.14592865021</v>
      </c>
      <c r="AD136" s="2">
        <f t="shared" si="12"/>
        <v>-12.900240682610036</v>
      </c>
      <c r="AE136"/>
    </row>
    <row r="137" spans="19:31" x14ac:dyDescent="0.3">
      <c r="S137" s="2">
        <v>-0.299999999999987</v>
      </c>
      <c r="T137" s="2">
        <v>11.525947199999999</v>
      </c>
      <c r="U137" s="9">
        <v>-3.4339509705643902E-2</v>
      </c>
      <c r="V137" s="2">
        <v>-31.552552266311402</v>
      </c>
      <c r="W137" s="2">
        <v>1580.98315115473</v>
      </c>
      <c r="X137" s="2">
        <v>-682.46678888946894</v>
      </c>
      <c r="Z137" s="2">
        <v>-5.9</v>
      </c>
      <c r="AA137" s="2">
        <v>-14.658395998642</v>
      </c>
      <c r="AB137" s="2">
        <f t="shared" si="10"/>
        <v>12.604929133858267</v>
      </c>
      <c r="AC137" s="2">
        <f t="shared" si="11"/>
        <v>-1580.98315115473</v>
      </c>
      <c r="AD137" s="2">
        <f t="shared" si="12"/>
        <v>-15.79690329301512</v>
      </c>
      <c r="AE137"/>
    </row>
    <row r="138" spans="19:31" x14ac:dyDescent="0.3">
      <c r="S138" s="2">
        <v>-0.34999999999998699</v>
      </c>
      <c r="T138" s="2">
        <v>13.9300084</v>
      </c>
      <c r="U138" s="9">
        <v>-3.41137219467752E-2</v>
      </c>
      <c r="V138" s="2">
        <v>-37.524315928947502</v>
      </c>
      <c r="W138" s="2">
        <v>1546.8992497612601</v>
      </c>
      <c r="X138" s="2">
        <v>-680.73998331318501</v>
      </c>
      <c r="Z138" s="2">
        <v>-6</v>
      </c>
      <c r="AA138" s="2">
        <v>-14.152390231369001</v>
      </c>
      <c r="AB138" s="2">
        <f t="shared" si="10"/>
        <v>15.234042432195976</v>
      </c>
      <c r="AC138" s="2">
        <f t="shared" si="11"/>
        <v>-1546.8992497612601</v>
      </c>
      <c r="AD138" s="2">
        <f t="shared" si="12"/>
        <v>-18.780316169774732</v>
      </c>
      <c r="AE138"/>
    </row>
    <row r="139" spans="19:31" x14ac:dyDescent="0.3">
      <c r="S139" s="2">
        <v>-0.39999999999998698</v>
      </c>
      <c r="T139" s="2">
        <v>16.4720896</v>
      </c>
      <c r="U139" s="9">
        <v>-3.3886184242356503E-2</v>
      </c>
      <c r="V139" s="2">
        <v>-43.651475972630301</v>
      </c>
      <c r="W139" s="2">
        <v>1512.9091528234101</v>
      </c>
      <c r="X139" s="2">
        <v>-678.71072565551401</v>
      </c>
      <c r="Z139" s="2">
        <v>-6.1</v>
      </c>
      <c r="AA139" s="2">
        <v>-13.648403964339501</v>
      </c>
      <c r="AB139" s="2">
        <f t="shared" si="10"/>
        <v>18.014096237970254</v>
      </c>
      <c r="AC139" s="2">
        <f t="shared" si="11"/>
        <v>-1512.9091528234101</v>
      </c>
      <c r="AD139" s="2">
        <f t="shared" si="12"/>
        <v>-21.841418502585253</v>
      </c>
      <c r="AE139"/>
    </row>
    <row r="140" spans="19:31" x14ac:dyDescent="0.3">
      <c r="S140" s="2">
        <v>-0.44999999999998602</v>
      </c>
      <c r="T140" s="2">
        <v>19.1521908</v>
      </c>
      <c r="U140" s="9">
        <v>-3.36569350440315E-2</v>
      </c>
      <c r="V140" s="2">
        <v>-49.915909300822598</v>
      </c>
      <c r="W140" s="2">
        <v>1479.02817719571</v>
      </c>
      <c r="X140" s="2">
        <v>-676.37169961266795</v>
      </c>
      <c r="Z140" s="2">
        <v>-6.2</v>
      </c>
      <c r="AA140" s="2">
        <v>-13.146594601598601</v>
      </c>
      <c r="AB140" s="2">
        <f t="shared" si="10"/>
        <v>20.945090551181103</v>
      </c>
      <c r="AC140" s="2">
        <f t="shared" si="11"/>
        <v>-1479.02817719571</v>
      </c>
      <c r="AD140" s="2">
        <f t="shared" si="12"/>
        <v>-24.971153161400231</v>
      </c>
      <c r="AE140"/>
    </row>
    <row r="141" spans="19:31" x14ac:dyDescent="0.3">
      <c r="S141" s="2">
        <v>-0.49999999999998601</v>
      </c>
      <c r="T141" s="2">
        <v>21.970312</v>
      </c>
      <c r="U141" s="9">
        <v>-3.3426012679999402E-2</v>
      </c>
      <c r="V141" s="2">
        <v>-56.299491516268702</v>
      </c>
      <c r="W141" s="2">
        <v>1445.27198286214</v>
      </c>
      <c r="X141" s="2">
        <v>-673.71649502323396</v>
      </c>
      <c r="Z141" s="2">
        <v>-6.3</v>
      </c>
      <c r="AA141" s="2">
        <v>-12.64711557082</v>
      </c>
      <c r="AB141" s="2">
        <f t="shared" si="10"/>
        <v>24.027025371828522</v>
      </c>
      <c r="AC141" s="2">
        <f t="shared" si="11"/>
        <v>-1445.27198286214</v>
      </c>
      <c r="AD141" s="2">
        <f t="shared" si="12"/>
        <v>-27.695942835859999</v>
      </c>
      <c r="AE141"/>
    </row>
    <row r="142" spans="19:31" x14ac:dyDescent="0.3">
      <c r="S142" s="2">
        <v>-0.54999999999998594</v>
      </c>
      <c r="T142" s="2">
        <v>107.447729156626</v>
      </c>
      <c r="U142" s="9">
        <v>-3.3193455337299199E-2</v>
      </c>
      <c r="V142" s="2">
        <v>-59.0665458616363</v>
      </c>
      <c r="W142" s="2">
        <v>1411.65652769339</v>
      </c>
      <c r="X142" s="2">
        <v>-670.83251104549595</v>
      </c>
      <c r="Z142" s="2">
        <v>-6.4</v>
      </c>
      <c r="AA142" s="2">
        <v>-12.150116425832399</v>
      </c>
      <c r="AB142" s="2">
        <f t="shared" si="10"/>
        <v>117.50626548187445</v>
      </c>
      <c r="AC142" s="2">
        <f t="shared" si="11"/>
        <v>-1411.65652769339</v>
      </c>
      <c r="AD142" s="2">
        <f t="shared" si="12"/>
        <v>-29.356687486715007</v>
      </c>
      <c r="AE142"/>
    </row>
    <row r="143" spans="19:31" x14ac:dyDescent="0.3">
      <c r="S143" s="2">
        <v>-0.59999999999998599</v>
      </c>
      <c r="T143" s="2">
        <v>110.15992481927699</v>
      </c>
      <c r="U143" s="9">
        <v>-3.2959301043757397E-2</v>
      </c>
      <c r="V143" s="2">
        <v>-60.433383529841201</v>
      </c>
      <c r="W143" s="2">
        <v>1378.1887317575899</v>
      </c>
      <c r="X143" s="2">
        <v>-667.84515752589095</v>
      </c>
      <c r="Z143" s="2">
        <v>-6.5</v>
      </c>
      <c r="AA143" s="2">
        <v>-11.6557429516804</v>
      </c>
      <c r="AB143" s="2">
        <f t="shared" si="10"/>
        <v>120.47235872624343</v>
      </c>
      <c r="AC143" s="2">
        <f t="shared" si="11"/>
        <v>-1378.1887317575899</v>
      </c>
      <c r="AD143" s="2">
        <f t="shared" si="12"/>
        <v>-30.215384198439885</v>
      </c>
      <c r="AE143"/>
    </row>
    <row r="144" spans="19:31" x14ac:dyDescent="0.3">
      <c r="S144" s="2">
        <v>-0.64999999999998603</v>
      </c>
      <c r="T144" s="2">
        <v>112.887180722891</v>
      </c>
      <c r="U144" s="9">
        <v>-3.2723587660159502E-2</v>
      </c>
      <c r="V144" s="2">
        <v>-61.8015075226241</v>
      </c>
      <c r="W144" s="2">
        <v>1344.8720119407999</v>
      </c>
      <c r="X144" s="2">
        <v>-664.78943420580799</v>
      </c>
      <c r="Z144" s="2">
        <v>-6.6</v>
      </c>
      <c r="AA144" s="2">
        <v>-11.1641372721647</v>
      </c>
      <c r="AB144" s="2">
        <f t="shared" si="10"/>
        <v>123.45492205040574</v>
      </c>
      <c r="AC144" s="2">
        <f t="shared" si="11"/>
        <v>-1344.8720119407999</v>
      </c>
      <c r="AD144" s="2">
        <f t="shared" si="12"/>
        <v>-30.899393798889577</v>
      </c>
      <c r="AE144"/>
    </row>
    <row r="145" spans="19:31" x14ac:dyDescent="0.3">
      <c r="S145" s="2">
        <v>-0.69999999999998597</v>
      </c>
      <c r="T145" s="2">
        <v>115.629496867469</v>
      </c>
      <c r="U145" s="9">
        <v>-3.2486352876384399E-2</v>
      </c>
      <c r="V145" s="2">
        <v>-63.1708261841354</v>
      </c>
      <c r="W145" s="2">
        <v>1311.70978833701</v>
      </c>
      <c r="X145" s="2">
        <v>-661.66527876611303</v>
      </c>
      <c r="Z145" s="2">
        <v>-6.7</v>
      </c>
      <c r="AA145" s="2">
        <v>-10.675437959804499</v>
      </c>
      <c r="AB145" s="2">
        <f t="shared" si="10"/>
        <v>126.45395545436243</v>
      </c>
      <c r="AC145" s="2">
        <f t="shared" si="11"/>
        <v>-1311.70978833701</v>
      </c>
      <c r="AD145" s="2">
        <f t="shared" si="12"/>
        <v>-31.584003282384828</v>
      </c>
      <c r="AE145"/>
    </row>
    <row r="146" spans="19:31" x14ac:dyDescent="0.3">
      <c r="S146" s="2">
        <v>-0.74999999999998501</v>
      </c>
      <c r="T146" s="2">
        <v>118.386873253012</v>
      </c>
      <c r="U146" s="9">
        <v>-3.2247634207535701E-2</v>
      </c>
      <c r="V146" s="2">
        <v>-64.541249081363802</v>
      </c>
      <c r="W146" s="2">
        <v>1278.7054840641899</v>
      </c>
      <c r="X146" s="2">
        <v>-658.47263354933102</v>
      </c>
      <c r="Z146" s="2">
        <v>-6.8</v>
      </c>
      <c r="AA146" s="2">
        <v>-10.1897801481634</v>
      </c>
      <c r="AB146" s="2">
        <f t="shared" si="10"/>
        <v>129.4694589381146</v>
      </c>
      <c r="AC146" s="2">
        <f t="shared" si="11"/>
        <v>-1278.7054840641899</v>
      </c>
      <c r="AD146" s="2">
        <f t="shared" si="12"/>
        <v>-32.269164192144871</v>
      </c>
      <c r="AE146"/>
    </row>
    <row r="147" spans="19:31" x14ac:dyDescent="0.3">
      <c r="S147" s="2">
        <v>-0.79999999999998495</v>
      </c>
      <c r="T147" s="2">
        <v>121.15930987951801</v>
      </c>
      <c r="U147" s="9">
        <v>-3.2007468990069197E-2</v>
      </c>
      <c r="V147" s="2">
        <v>-65.912687017533202</v>
      </c>
      <c r="W147" s="2">
        <v>1245.86252498208</v>
      </c>
      <c r="X147" s="2">
        <v>-655.21144592768405</v>
      </c>
      <c r="Z147" s="2">
        <v>-6.9</v>
      </c>
      <c r="AA147" s="2">
        <v>-9.7072956464816205</v>
      </c>
      <c r="AB147" s="2">
        <f t="shared" si="10"/>
        <v>132.5014325016601</v>
      </c>
      <c r="AC147" s="2">
        <f t="shared" si="11"/>
        <v>-1245.86252498208</v>
      </c>
      <c r="AD147" s="2">
        <f t="shared" si="12"/>
        <v>-32.954829604785203</v>
      </c>
      <c r="AE147"/>
    </row>
    <row r="148" spans="19:31" x14ac:dyDescent="0.3">
      <c r="S148" s="2">
        <v>-0.84999999999998499</v>
      </c>
      <c r="T148" s="2">
        <v>123.94680674698699</v>
      </c>
      <c r="U148" s="9">
        <v>-3.1765894377917298E-2</v>
      </c>
      <c r="V148" s="2">
        <v>-67.2850520449973</v>
      </c>
      <c r="W148" s="2">
        <v>1213.1843394714199</v>
      </c>
      <c r="X148" s="2">
        <v>-651.88166762837398</v>
      </c>
      <c r="Z148" s="2">
        <v>-7</v>
      </c>
      <c r="AA148" s="2">
        <v>-9.2281130565531999</v>
      </c>
      <c r="AB148" s="2">
        <f t="shared" si="10"/>
        <v>135.5498761449989</v>
      </c>
      <c r="AC148" s="2">
        <f t="shared" si="11"/>
        <v>-1213.1843394714199</v>
      </c>
      <c r="AD148" s="2">
        <f t="shared" si="12"/>
        <v>-33.640957810630546</v>
      </c>
      <c r="AE148"/>
    </row>
    <row r="149" spans="19:31" x14ac:dyDescent="0.3">
      <c r="S149" s="2">
        <v>-0.89999999999998503</v>
      </c>
      <c r="T149" s="2">
        <v>126.749363855421</v>
      </c>
      <c r="U149" s="9">
        <v>-3.1522947338610399E-2</v>
      </c>
      <c r="V149" s="2">
        <v>-68.658257477623707</v>
      </c>
      <c r="W149" s="2">
        <v>1180.67435821924</v>
      </c>
      <c r="X149" s="2">
        <v>-648.48325436555797</v>
      </c>
      <c r="Z149" s="2">
        <v>-7.1</v>
      </c>
      <c r="AA149" s="2">
        <v>-8.7523578917884493</v>
      </c>
      <c r="AB149" s="2">
        <f t="shared" si="10"/>
        <v>138.61478986813319</v>
      </c>
      <c r="AC149" s="2">
        <f t="shared" si="11"/>
        <v>-1180.67435821924</v>
      </c>
      <c r="AD149" s="2">
        <f t="shared" si="12"/>
        <v>-34.327508326794572</v>
      </c>
      <c r="AE149"/>
    </row>
    <row r="150" spans="19:31" x14ac:dyDescent="0.3">
      <c r="S150" s="2">
        <v>-0.94999999999998497</v>
      </c>
      <c r="T150" s="2">
        <v>129.566981204819</v>
      </c>
      <c r="U150" s="9">
        <v>-3.1278664649396597E-2</v>
      </c>
      <c r="V150" s="2">
        <v>-70.032217902662694</v>
      </c>
      <c r="W150" s="2">
        <v>1148.33601403486</v>
      </c>
      <c r="X150" s="2">
        <v>-645.01616596301506</v>
      </c>
      <c r="Z150" s="2">
        <v>-7.2</v>
      </c>
      <c r="AA150" s="2">
        <v>-8.2801526983998794</v>
      </c>
      <c r="AB150" s="2">
        <f t="shared" si="10"/>
        <v>141.6961736710619</v>
      </c>
      <c r="AC150" s="2">
        <f t="shared" si="11"/>
        <v>-1148.33601403486</v>
      </c>
      <c r="AD150" s="2">
        <f t="shared" si="12"/>
        <v>-35.014437603494997</v>
      </c>
      <c r="AE150"/>
    </row>
    <row r="151" spans="19:31" x14ac:dyDescent="0.3">
      <c r="S151" s="2">
        <v>-0.99999999999998401</v>
      </c>
      <c r="T151" s="2">
        <v>132.39965879517999</v>
      </c>
      <c r="U151" s="9">
        <v>-3.1033082893357201E-2</v>
      </c>
      <c r="V151" s="2">
        <v>-71.406849192094896</v>
      </c>
      <c r="W151" s="2">
        <v>1116.1727416229401</v>
      </c>
      <c r="X151" s="2">
        <v>-641.48036684485896</v>
      </c>
      <c r="Z151" s="2">
        <v>-7.3</v>
      </c>
      <c r="AA151" s="2">
        <v>-7.8116171786490298</v>
      </c>
      <c r="AB151" s="2">
        <f t="shared" si="10"/>
        <v>144.79402755378388</v>
      </c>
      <c r="AC151" s="2">
        <f t="shared" si="11"/>
        <v>-1116.1727416229401</v>
      </c>
      <c r="AD151" s="2">
        <f t="shared" si="12"/>
        <v>-35.701700557445378</v>
      </c>
      <c r="AE151"/>
    </row>
    <row r="152" spans="19:31" x14ac:dyDescent="0.3">
      <c r="S152" s="2">
        <v>-1.0499999999999801</v>
      </c>
      <c r="T152" s="2">
        <v>135.247396626506</v>
      </c>
      <c r="U152" s="9">
        <v>-3.0786238455522301E-2</v>
      </c>
      <c r="V152" s="2">
        <v>-72.782068513451307</v>
      </c>
      <c r="W152" s="2">
        <v>1084.1879773503799</v>
      </c>
      <c r="X152" s="2">
        <v>-637.87582585152597</v>
      </c>
      <c r="Z152" s="2">
        <v>-7.4</v>
      </c>
      <c r="AA152" s="2">
        <v>-7.3468683160911104</v>
      </c>
      <c r="AB152" s="2">
        <f t="shared" si="10"/>
        <v>147.90835151630139</v>
      </c>
      <c r="AC152" s="2">
        <f t="shared" si="11"/>
        <v>-1084.1879773503799</v>
      </c>
      <c r="AD152" s="2">
        <f t="shared" si="12"/>
        <v>-36.389257319139539</v>
      </c>
      <c r="AE152"/>
    </row>
    <row r="153" spans="19:31" x14ac:dyDescent="0.3">
      <c r="S153" s="2">
        <v>-1.0999999999999801</v>
      </c>
      <c r="T153" s="2">
        <v>138.110194698795</v>
      </c>
      <c r="U153" s="9">
        <v>-3.0538167518982601E-2</v>
      </c>
      <c r="V153" s="2">
        <v>-74.157794340098903</v>
      </c>
      <c r="W153" s="2">
        <v>1052.3851590377899</v>
      </c>
      <c r="X153" s="2">
        <v>-634.20251538103105</v>
      </c>
      <c r="Z153" s="2">
        <v>-7.5</v>
      </c>
      <c r="AA153" s="2">
        <v>-6.8860205027529302</v>
      </c>
      <c r="AB153" s="2">
        <f t="shared" si="10"/>
        <v>151.0391455586122</v>
      </c>
      <c r="AC153" s="2">
        <f t="shared" si="11"/>
        <v>-1052.3851590377899</v>
      </c>
      <c r="AD153" s="2">
        <f t="shared" si="12"/>
        <v>-37.077066638995142</v>
      </c>
      <c r="AE153"/>
    </row>
    <row r="154" spans="19:31" x14ac:dyDescent="0.3">
      <c r="S154" s="2">
        <v>-1.1499999999999799</v>
      </c>
      <c r="T154" s="2">
        <v>140.988053012048</v>
      </c>
      <c r="U154" s="9">
        <v>-3.0288906061000501E-2</v>
      </c>
      <c r="V154" s="2">
        <v>-75.533946460988503</v>
      </c>
      <c r="W154" s="2">
        <v>1020.76772581228</v>
      </c>
      <c r="X154" s="2">
        <v>-630.46041252372697</v>
      </c>
      <c r="Z154" s="2">
        <v>-7.6</v>
      </c>
      <c r="AA154" s="2">
        <v>-6.4291856681791799</v>
      </c>
      <c r="AB154" s="2">
        <f t="shared" si="10"/>
        <v>154.18640968071742</v>
      </c>
      <c r="AC154" s="2">
        <f t="shared" si="11"/>
        <v>-1020.76772581228</v>
      </c>
      <c r="AD154" s="2">
        <f t="shared" si="12"/>
        <v>-37.765087114000231</v>
      </c>
      <c r="AE154"/>
    </row>
    <row r="155" spans="19:31" x14ac:dyDescent="0.3">
      <c r="S155" s="2">
        <v>-1.19999999999998</v>
      </c>
      <c r="T155" s="2">
        <v>143.880971566265</v>
      </c>
      <c r="U155" s="9">
        <v>-3.0038489849119901E-2</v>
      </c>
      <c r="V155" s="2">
        <v>-76.910445989855702</v>
      </c>
      <c r="W155" s="2">
        <v>989.33911778541994</v>
      </c>
      <c r="X155" s="2">
        <v>-626.649497958231</v>
      </c>
      <c r="Z155" s="2">
        <v>-7.7</v>
      </c>
      <c r="AA155" s="2">
        <v>-5.9764734102808301</v>
      </c>
      <c r="AB155" s="2">
        <f t="shared" si="10"/>
        <v>157.35014388261703</v>
      </c>
      <c r="AC155" s="2">
        <f t="shared" si="11"/>
        <v>-989.33911778541994</v>
      </c>
      <c r="AD155" s="2">
        <f t="shared" si="12"/>
        <v>-38.453282094844745</v>
      </c>
      <c r="AE155"/>
    </row>
    <row r="156" spans="19:31" x14ac:dyDescent="0.3">
      <c r="S156" s="2">
        <v>-1.24999999999998</v>
      </c>
      <c r="T156" s="2">
        <v>146.78895036144499</v>
      </c>
      <c r="U156" s="9">
        <v>-2.9786954437273899E-2</v>
      </c>
      <c r="V156" s="2">
        <v>-78.287215373872002</v>
      </c>
      <c r="W156" s="2">
        <v>958.10277601645703</v>
      </c>
      <c r="X156" s="2">
        <v>-622.76975610475802</v>
      </c>
      <c r="Z156" s="2">
        <v>-7.8</v>
      </c>
      <c r="AA156" s="2">
        <v>-5.5279911279188703</v>
      </c>
      <c r="AB156" s="2">
        <f t="shared" si="10"/>
        <v>160.53034816430991</v>
      </c>
      <c r="AC156" s="2">
        <f t="shared" si="11"/>
        <v>-958.10277601645703</v>
      </c>
      <c r="AD156" s="2">
        <f t="shared" si="12"/>
        <v>-39.141613092140197</v>
      </c>
      <c r="AE156"/>
    </row>
    <row r="157" spans="19:31" x14ac:dyDescent="0.3">
      <c r="S157" s="2">
        <v>-1.2999999999999801</v>
      </c>
      <c r="T157" s="2">
        <v>149.71198939759</v>
      </c>
      <c r="U157" s="9">
        <v>-2.95343351618928E-2</v>
      </c>
      <c r="V157" s="2">
        <v>-79.664178401737402</v>
      </c>
      <c r="W157" s="2">
        <v>927.06214217494403</v>
      </c>
      <c r="X157" s="2">
        <v>-618.82117533980295</v>
      </c>
      <c r="Z157" s="2">
        <v>-7.9</v>
      </c>
      <c r="AA157" s="2">
        <v>-5.0838441551552203</v>
      </c>
      <c r="AB157" s="2">
        <f t="shared" si="10"/>
        <v>163.72702252579833</v>
      </c>
      <c r="AC157" s="2">
        <f t="shared" si="11"/>
        <v>-927.06214217494403</v>
      </c>
      <c r="AD157" s="2">
        <f t="shared" si="12"/>
        <v>-39.830041463085273</v>
      </c>
      <c r="AE157"/>
    </row>
    <row r="158" spans="19:31" x14ac:dyDescent="0.3">
      <c r="S158" s="2">
        <v>-1.3499999999999801</v>
      </c>
      <c r="T158" s="2">
        <v>152.650088674698</v>
      </c>
      <c r="U158" s="9">
        <v>-2.92806671380101E-2</v>
      </c>
      <c r="V158" s="2">
        <v>-81.041260211210997</v>
      </c>
      <c r="W158" s="2">
        <v>896.22065848247598</v>
      </c>
      <c r="X158" s="2">
        <v>-614.80374781214095</v>
      </c>
      <c r="Z158" s="2">
        <v>-8</v>
      </c>
      <c r="AA158" s="2">
        <v>-4.6441358971022302</v>
      </c>
      <c r="AB158" s="2">
        <f t="shared" si="10"/>
        <v>166.94016696708005</v>
      </c>
      <c r="AC158" s="2">
        <f t="shared" si="11"/>
        <v>-896.22065848247598</v>
      </c>
      <c r="AD158" s="2">
        <f t="shared" si="12"/>
        <v>-40.518527798179917</v>
      </c>
    </row>
    <row r="159" spans="19:31" x14ac:dyDescent="0.3">
      <c r="S159" s="2">
        <v>-1.3999999999999799</v>
      </c>
      <c r="T159" s="2">
        <v>155.60324819277099</v>
      </c>
      <c r="U159" s="9">
        <v>-2.90259852553688E-2</v>
      </c>
      <c r="V159" s="2">
        <v>-82.418387296072893</v>
      </c>
      <c r="W159" s="2">
        <v>865.58176739373005</v>
      </c>
      <c r="X159" s="2">
        <v>-610.71746978016699</v>
      </c>
      <c r="Z159" s="2">
        <v>-8.1</v>
      </c>
      <c r="AA159" s="2">
        <v>-4.2089679673007199</v>
      </c>
      <c r="AB159" s="2">
        <f t="shared" si="10"/>
        <v>170.16978148815724</v>
      </c>
      <c r="AC159" s="2">
        <f t="shared" si="11"/>
        <v>-865.58176739373005</v>
      </c>
      <c r="AD159" s="2">
        <f t="shared" si="12"/>
        <v>-41.207035448142847</v>
      </c>
      <c r="AE159"/>
    </row>
    <row r="160" spans="19:31" x14ac:dyDescent="0.3">
      <c r="S160" s="2">
        <v>-1.44999999999998</v>
      </c>
      <c r="T160" s="2">
        <v>158.57146795180699</v>
      </c>
      <c r="U160" s="9">
        <v>-2.8770324174526699E-2</v>
      </c>
      <c r="V160" s="2">
        <v>-83.795487512510505</v>
      </c>
      <c r="W160" s="2">
        <v>835.14891150445897</v>
      </c>
      <c r="X160" s="2">
        <v>-606.56234072251198</v>
      </c>
      <c r="Z160" s="2">
        <v>-8.2000000000000099</v>
      </c>
      <c r="AA160" s="2">
        <v>-3.7784403265558701</v>
      </c>
      <c r="AB160" s="2">
        <f t="shared" si="10"/>
        <v>173.41586608902779</v>
      </c>
      <c r="AC160" s="2">
        <f t="shared" si="11"/>
        <v>-835.14891150445897</v>
      </c>
      <c r="AD160" s="2">
        <f t="shared" si="12"/>
        <v>-41.895530063842635</v>
      </c>
    </row>
    <row r="161" spans="19:31" x14ac:dyDescent="0.3">
      <c r="S161" s="2">
        <v>-1.49999999999998</v>
      </c>
      <c r="T161" s="2">
        <v>161.554747951807</v>
      </c>
      <c r="U161" s="9">
        <v>-2.8513718322962501E-2</v>
      </c>
      <c r="V161" s="2">
        <v>-85.172490084925499</v>
      </c>
      <c r="W161" s="2">
        <v>804.92553332147895</v>
      </c>
      <c r="X161" s="2">
        <v>-602.33836376739805</v>
      </c>
      <c r="Z161" s="2">
        <v>-8.3000000000000096</v>
      </c>
      <c r="AA161" s="2">
        <v>-3.3525735328697999</v>
      </c>
      <c r="AB161" s="2">
        <f t="shared" si="10"/>
        <v>176.67842076969271</v>
      </c>
      <c r="AC161" s="2">
        <f t="shared" si="11"/>
        <v>-804.92553332147895</v>
      </c>
      <c r="AD161" s="2">
        <f t="shared" si="12"/>
        <v>-42.583976069390282</v>
      </c>
      <c r="AE161"/>
    </row>
    <row r="162" spans="19:31" x14ac:dyDescent="0.3">
      <c r="S162" s="2">
        <v>-1.5499999999999801</v>
      </c>
      <c r="T162" s="2">
        <v>164.55308819277101</v>
      </c>
      <c r="U162" s="9">
        <v>-2.8256201891180902E-2</v>
      </c>
      <c r="V162" s="2">
        <v>-86.549325611153805</v>
      </c>
      <c r="W162" s="2">
        <v>774.91507512772</v>
      </c>
      <c r="X162" s="2">
        <v>-598.04554550863395</v>
      </c>
      <c r="Z162" s="2">
        <v>-8.4000000000000092</v>
      </c>
      <c r="AA162" s="2">
        <v>-2.9313142320297199</v>
      </c>
      <c r="AB162" s="2">
        <f t="shared" si="10"/>
        <v>179.95744553015203</v>
      </c>
      <c r="AC162" s="2">
        <f t="shared" si="11"/>
        <v>-774.91507512772</v>
      </c>
      <c r="AD162" s="2">
        <f t="shared" si="12"/>
        <v>-43.272337428847237</v>
      </c>
    </row>
    <row r="163" spans="19:31" x14ac:dyDescent="0.3">
      <c r="S163" s="2">
        <v>-1.5999999999999801</v>
      </c>
      <c r="T163" s="2">
        <v>167.56648867469801</v>
      </c>
      <c r="U163" s="9">
        <v>-2.7997808828818801E-2</v>
      </c>
      <c r="V163" s="2">
        <v>-87.925926067094494</v>
      </c>
      <c r="W163" s="2">
        <v>745.12097877061501</v>
      </c>
      <c r="X163" s="2">
        <v>-593.68389628162902</v>
      </c>
      <c r="Z163" s="2">
        <v>-8.5</v>
      </c>
      <c r="AA163" s="2">
        <v>-2.5145412617541201</v>
      </c>
      <c r="AB163" s="2">
        <f t="shared" si="10"/>
        <v>183.25294037040464</v>
      </c>
      <c r="AC163" s="2">
        <f t="shared" si="11"/>
        <v>-745.12097877061501</v>
      </c>
      <c r="AD163" s="2">
        <f t="shared" si="12"/>
        <v>-43.96058055982207</v>
      </c>
      <c r="AE163"/>
    </row>
    <row r="164" spans="19:31" x14ac:dyDescent="0.3">
      <c r="S164" s="2">
        <v>-1.6499999999999799</v>
      </c>
      <c r="T164" s="2">
        <v>170.59494939759</v>
      </c>
      <c r="U164" s="9">
        <v>-2.7738572840751399E-2</v>
      </c>
      <c r="V164" s="2">
        <v>-89.302224810739602</v>
      </c>
      <c r="W164" s="2">
        <v>715.54668549955704</v>
      </c>
      <c r="X164" s="2">
        <v>-589.25342939666996</v>
      </c>
      <c r="Z164" s="2">
        <v>-8.6</v>
      </c>
      <c r="AA164" s="2">
        <v>-2.1020723282074099</v>
      </c>
      <c r="AB164" s="2">
        <f t="shared" si="10"/>
        <v>186.56490529045277</v>
      </c>
      <c r="AC164" s="2">
        <f t="shared" si="11"/>
        <v>-715.54668549955704</v>
      </c>
      <c r="AD164" s="2">
        <f t="shared" si="12"/>
        <v>-44.648674026727853</v>
      </c>
    </row>
    <row r="165" spans="19:31" x14ac:dyDescent="0.3">
      <c r="S165" s="2">
        <v>-1.69999999999998</v>
      </c>
      <c r="T165" s="2">
        <v>173.638470361445</v>
      </c>
      <c r="U165" s="9">
        <v>-2.74785273831996E-2</v>
      </c>
      <c r="V165" s="2">
        <v>-90.678156585601997</v>
      </c>
      <c r="W165" s="2">
        <v>686.19563583094805</v>
      </c>
      <c r="X165" s="2">
        <v>-584.754161476283</v>
      </c>
      <c r="Z165" s="2">
        <v>-8.7000000000000099</v>
      </c>
      <c r="AA165" s="2">
        <v>-1.6936712093651201</v>
      </c>
      <c r="AB165" s="2">
        <f t="shared" si="10"/>
        <v>189.89334029029419</v>
      </c>
      <c r="AC165" s="2">
        <f t="shared" si="11"/>
        <v>-686.19563583094805</v>
      </c>
      <c r="AD165" s="2">
        <f t="shared" si="12"/>
        <v>-45.33658409380282</v>
      </c>
      <c r="AE165"/>
    </row>
    <row r="166" spans="19:31" x14ac:dyDescent="0.3">
      <c r="S166" s="2">
        <v>-1.74999999999998</v>
      </c>
      <c r="T166" s="2">
        <v>176.697051566265</v>
      </c>
      <c r="U166" s="9">
        <v>-2.72177056598377E-2</v>
      </c>
      <c r="V166" s="2">
        <v>-92.053657523533403</v>
      </c>
      <c r="W166" s="2">
        <v>657.07126935192798</v>
      </c>
      <c r="X166" s="2">
        <v>-580.18611257790894</v>
      </c>
      <c r="Z166" s="2">
        <v>-8.8000000000000096</v>
      </c>
      <c r="AA166" s="2">
        <v>-1.2890554373629499</v>
      </c>
      <c r="AB166" s="2">
        <f t="shared" si="10"/>
        <v>193.23824536993112</v>
      </c>
      <c r="AC166" s="2">
        <f t="shared" si="11"/>
        <v>-657.07126935192798</v>
      </c>
      <c r="AD166" s="2">
        <f t="shared" si="12"/>
        <v>-46.024278252045455</v>
      </c>
    </row>
    <row r="167" spans="19:31" x14ac:dyDescent="0.3">
      <c r="S167" s="2">
        <v>-1.7999999999999801</v>
      </c>
      <c r="T167" s="2">
        <v>179.77069301204801</v>
      </c>
      <c r="U167" s="9">
        <v>-2.6956140617902101E-2</v>
      </c>
      <c r="V167" s="2">
        <v>-93.428665146927699</v>
      </c>
      <c r="W167" s="2">
        <v>628.17702457315704</v>
      </c>
      <c r="X167" s="2">
        <v>-575.54930582587394</v>
      </c>
      <c r="Z167" s="2">
        <v>-8.9000000000000092</v>
      </c>
      <c r="AA167" s="2">
        <v>-0.88790441140420395</v>
      </c>
      <c r="AB167" s="2">
        <f t="shared" si="10"/>
        <v>196.59962052936135</v>
      </c>
      <c r="AC167" s="2">
        <f t="shared" si="11"/>
        <v>-628.17702457315704</v>
      </c>
      <c r="AD167" s="2">
        <f t="shared" si="12"/>
        <v>-46.711724912529213</v>
      </c>
      <c r="AE167"/>
    </row>
    <row r="168" spans="19:31" x14ac:dyDescent="0.3">
      <c r="S168" s="2">
        <v>-1.8499999999999801</v>
      </c>
      <c r="T168" s="2">
        <v>182.859394698795</v>
      </c>
      <c r="U168" s="9">
        <v>-2.6693864944301999E-2</v>
      </c>
      <c r="V168" s="2">
        <v>-94.803118370303906</v>
      </c>
      <c r="W168" s="2">
        <v>599.51633876934102</v>
      </c>
      <c r="X168" s="2">
        <v>-570.84376759540305</v>
      </c>
      <c r="Z168" s="2">
        <v>-9.0000000000000107</v>
      </c>
      <c r="AA168" s="2">
        <v>-0.48986789375312101</v>
      </c>
      <c r="AB168" s="2">
        <f t="shared" si="10"/>
        <v>199.97746576858597</v>
      </c>
      <c r="AC168" s="2">
        <f t="shared" si="11"/>
        <v>-599.51633876934102</v>
      </c>
      <c r="AD168" s="2">
        <f t="shared" si="12"/>
        <v>-47.398893713074443</v>
      </c>
    </row>
    <row r="169" spans="19:31" x14ac:dyDescent="0.3">
      <c r="S169" s="2">
        <v>-1.8999999999999799</v>
      </c>
      <c r="T169" s="2">
        <v>185.96315662650599</v>
      </c>
      <c r="U169" s="9">
        <v>-2.64309110617304E-2</v>
      </c>
      <c r="V169" s="2">
        <v>-96.176957501262905</v>
      </c>
      <c r="W169" s="2">
        <v>571.09264781361696</v>
      </c>
      <c r="X169" s="2">
        <v>-566.069527083259</v>
      </c>
      <c r="Z169" s="2">
        <v>-9.1000000000000103</v>
      </c>
      <c r="AA169" s="2">
        <v>-9.4574843475825801E-2</v>
      </c>
      <c r="AB169" s="2">
        <f t="shared" si="10"/>
        <v>203.37178108760497</v>
      </c>
      <c r="AC169" s="2">
        <f t="shared" si="11"/>
        <v>-571.09264781361696</v>
      </c>
      <c r="AD169" s="2">
        <f t="shared" si="12"/>
        <v>-48.08575674499042</v>
      </c>
      <c r="AE169"/>
    </row>
    <row r="170" spans="19:31" x14ac:dyDescent="0.3">
      <c r="S170" s="2">
        <v>-1.94999999999998</v>
      </c>
      <c r="T170" s="2">
        <v>189.08197879517999</v>
      </c>
      <c r="U170" s="9">
        <v>-2.6167311124777499E-2</v>
      </c>
      <c r="V170" s="2">
        <v>-97.550124240812806</v>
      </c>
      <c r="W170" s="2">
        <v>542.90938606101497</v>
      </c>
      <c r="X170" s="2">
        <v>-561.226616246405</v>
      </c>
      <c r="Z170" s="2">
        <v>-9.2000000000000099</v>
      </c>
      <c r="AA170" s="2">
        <v>0.29835745443536998</v>
      </c>
      <c r="AB170" s="2">
        <f t="shared" si="10"/>
        <v>206.78256648641732</v>
      </c>
      <c r="AC170" s="2">
        <f t="shared" si="11"/>
        <v>-542.90938606101497</v>
      </c>
      <c r="AD170" s="2">
        <f t="shared" si="12"/>
        <v>-48.772284259500395</v>
      </c>
    </row>
    <row r="171" spans="19:31" x14ac:dyDescent="0.3">
      <c r="S171" s="2">
        <v>-1.99999999999998</v>
      </c>
      <c r="T171" s="2">
        <v>192.21586120481899</v>
      </c>
      <c r="U171" s="9">
        <v>-2.5903097016045502E-2</v>
      </c>
      <c r="V171" s="2">
        <v>-98.9225616830566</v>
      </c>
      <c r="W171" s="2">
        <v>514.96998618897601</v>
      </c>
      <c r="X171" s="2">
        <v>-556.31507023135896</v>
      </c>
      <c r="Z171" s="2">
        <v>-9.3000000000000096</v>
      </c>
      <c r="AA171" s="2">
        <v>0.689314003430191</v>
      </c>
      <c r="AB171" s="2">
        <f t="shared" si="10"/>
        <v>210.20982196502516</v>
      </c>
      <c r="AC171" s="2">
        <f t="shared" si="11"/>
        <v>-514.96998618897601</v>
      </c>
      <c r="AD171" s="2">
        <f t="shared" si="12"/>
        <v>-49.458444207640078</v>
      </c>
      <c r="AE171"/>
    </row>
    <row r="172" spans="19:31" x14ac:dyDescent="0.3">
      <c r="S172" s="2">
        <v>-2.0499999999999798</v>
      </c>
      <c r="T172" s="2">
        <v>195.364803855421</v>
      </c>
      <c r="U172" s="9">
        <v>-2.5638300342265601E-2</v>
      </c>
      <c r="V172" s="2">
        <v>-100.294214314237</v>
      </c>
      <c r="W172" s="2">
        <v>487.27787903787902</v>
      </c>
      <c r="X172" s="2">
        <v>-551.33492740487702</v>
      </c>
      <c r="Z172" s="2">
        <v>-9.4000000000000092</v>
      </c>
      <c r="AA172" s="2">
        <v>1.0786724884230601</v>
      </c>
      <c r="AB172" s="2">
        <f t="shared" si="10"/>
        <v>213.65354752342628</v>
      </c>
      <c r="AC172" s="2">
        <f t="shared" si="11"/>
        <v>-487.27787903787902</v>
      </c>
      <c r="AD172" s="2">
        <f t="shared" si="12"/>
        <v>-50.144208834049394</v>
      </c>
    </row>
    <row r="173" spans="19:31" x14ac:dyDescent="0.3">
      <c r="S173" s="2">
        <v>-2.0999999999999801</v>
      </c>
      <c r="T173" s="2">
        <v>198.52880674698699</v>
      </c>
      <c r="U173" s="9">
        <v>-2.53729524304162E-2</v>
      </c>
      <c r="V173" s="2">
        <v>-101.665028011134</v>
      </c>
      <c r="W173" s="2">
        <v>459.83649344848902</v>
      </c>
      <c r="X173" s="2">
        <v>-546.28622846454903</v>
      </c>
      <c r="Z173" s="2">
        <v>-9.5000000000000107</v>
      </c>
      <c r="AA173" s="2">
        <v>1.4667934789313299</v>
      </c>
      <c r="AB173" s="2">
        <f t="shared" si="10"/>
        <v>217.11374316162181</v>
      </c>
      <c r="AC173" s="2">
        <f t="shared" si="11"/>
        <v>-459.83649344848902</v>
      </c>
      <c r="AD173" s="2">
        <f t="shared" si="12"/>
        <v>-50.829556823894976</v>
      </c>
      <c r="AE173"/>
    </row>
    <row r="174" spans="19:31" x14ac:dyDescent="0.3">
      <c r="S174" s="2">
        <v>-2.1499999999999799</v>
      </c>
      <c r="T174" s="2">
        <v>201.707869879518</v>
      </c>
      <c r="U174" s="9">
        <v>-2.5107084323844599E-2</v>
      </c>
      <c r="V174" s="2">
        <v>-103.03495003880801</v>
      </c>
      <c r="W174" s="2">
        <v>432.649256191424</v>
      </c>
      <c r="X174" s="2">
        <v>-541.16901604009797</v>
      </c>
      <c r="Z174" s="2">
        <v>-9.6000000000000103</v>
      </c>
      <c r="AA174" s="2">
        <v>1.8540104702882501</v>
      </c>
      <c r="AB174" s="2">
        <f t="shared" si="10"/>
        <v>220.59040887961285</v>
      </c>
      <c r="AC174" s="2">
        <f t="shared" si="11"/>
        <v>-432.649256191424</v>
      </c>
      <c r="AD174" s="2">
        <f t="shared" si="12"/>
        <v>-51.51446072855056</v>
      </c>
    </row>
    <row r="175" spans="19:31" x14ac:dyDescent="0.3">
      <c r="S175" s="2">
        <v>-2.1999999999999802</v>
      </c>
      <c r="T175" s="2">
        <v>204.90199325301199</v>
      </c>
      <c r="U175" s="9">
        <v>-2.4840726778390301E-2</v>
      </c>
      <c r="V175" s="2">
        <v>-104.40392904767801</v>
      </c>
      <c r="W175" s="2">
        <v>405.719591844479</v>
      </c>
      <c r="X175" s="2">
        <v>-535.98333631883895</v>
      </c>
      <c r="Z175" s="2">
        <v>-9.7000000000000099</v>
      </c>
      <c r="AA175" s="2">
        <v>2.2406197877196701</v>
      </c>
      <c r="AB175" s="2">
        <f t="shared" si="10"/>
        <v>224.08354467739719</v>
      </c>
      <c r="AC175" s="2">
        <f t="shared" si="11"/>
        <v>-405.719591844479</v>
      </c>
      <c r="AD175" s="2">
        <f t="shared" si="12"/>
        <v>-52.198890799189897</v>
      </c>
      <c r="AE175"/>
    </row>
    <row r="176" spans="19:31" x14ac:dyDescent="0.3">
      <c r="S176" s="2">
        <v>-2.24999999999998</v>
      </c>
      <c r="T176" s="2">
        <v>208.111176867469</v>
      </c>
      <c r="U176" s="9">
        <v>-2.4573910258510599E-2</v>
      </c>
      <c r="V176" s="2">
        <v>-105.771915069947</v>
      </c>
      <c r="W176" s="2">
        <v>379.05092255954003</v>
      </c>
      <c r="X176" s="2">
        <v>-530.72923788026003</v>
      </c>
      <c r="Z176" s="2">
        <v>-9.8000000000000096</v>
      </c>
      <c r="AA176" s="2">
        <v>2.6268703753195699</v>
      </c>
      <c r="AB176" s="2">
        <f t="shared" si="10"/>
        <v>227.59315055497484</v>
      </c>
      <c r="AC176" s="2">
        <f t="shared" si="11"/>
        <v>-379.05092255954003</v>
      </c>
      <c r="AD176" s="2">
        <f t="shared" si="12"/>
        <v>-52.88282434084995</v>
      </c>
    </row>
    <row r="177" spans="19:31" x14ac:dyDescent="0.3">
      <c r="S177" s="2">
        <v>-2.2999999999999798</v>
      </c>
      <c r="T177" s="2">
        <v>211.335420722891</v>
      </c>
      <c r="U177" s="9">
        <v>-2.4306664933409501E-2</v>
      </c>
      <c r="V177" s="2">
        <v>-107.13885951534699</v>
      </c>
      <c r="W177" s="2">
        <v>352.646668056453</v>
      </c>
      <c r="X177" s="2">
        <v>-525.406771450669</v>
      </c>
      <c r="Z177" s="2">
        <v>-9.9000000000000092</v>
      </c>
      <c r="AA177" s="2">
        <v>3.0129534896663799</v>
      </c>
      <c r="AB177" s="2">
        <f t="shared" si="10"/>
        <v>231.11922651234798</v>
      </c>
      <c r="AC177" s="2">
        <f t="shared" si="11"/>
        <v>-352.646668056453</v>
      </c>
      <c r="AD177" s="2">
        <f t="shared" si="12"/>
        <v>-53.566236511757964</v>
      </c>
      <c r="AE177"/>
    </row>
    <row r="178" spans="19:31" x14ac:dyDescent="0.3">
      <c r="S178" s="2">
        <v>-2.3499999999999801</v>
      </c>
      <c r="T178" s="2">
        <v>214.57472481927701</v>
      </c>
      <c r="U178" s="9">
        <v>-2.4039020673169299E-2</v>
      </c>
      <c r="V178" s="2">
        <v>-108.50471516620701</v>
      </c>
      <c r="W178" s="2">
        <v>326.51024541447299</v>
      </c>
      <c r="X178" s="2">
        <v>-520.01599057790895</v>
      </c>
      <c r="Z178" s="2">
        <v>-10</v>
      </c>
      <c r="AA178" s="2">
        <v>3.3989923159993101</v>
      </c>
      <c r="AB178" s="2">
        <f t="shared" si="10"/>
        <v>234.66177254951555</v>
      </c>
      <c r="AC178" s="2">
        <f t="shared" si="11"/>
        <v>-326.51024541447299</v>
      </c>
      <c r="AD178" s="2">
        <f t="shared" si="12"/>
        <v>-1.0959414950218147</v>
      </c>
    </row>
    <row r="179" spans="19:31" x14ac:dyDescent="0.3">
      <c r="S179" s="2">
        <v>-2.3999999999999799</v>
      </c>
      <c r="T179" s="2">
        <v>217.829089156626</v>
      </c>
      <c r="U179" s="9">
        <v>-2.3771007044884499E-2</v>
      </c>
      <c r="V179" s="2">
        <v>-109.86943617185</v>
      </c>
      <c r="W179" s="2">
        <v>300.645068998662</v>
      </c>
      <c r="X179" s="2">
        <v>-514.55695064995302</v>
      </c>
    </row>
    <row r="180" spans="19:31" x14ac:dyDescent="0.3">
      <c r="S180" s="2">
        <v>-2.44999999999997</v>
      </c>
      <c r="T180" s="2">
        <v>221.09851373493899</v>
      </c>
      <c r="U180" s="9">
        <v>-2.3502653308799699E-2</v>
      </c>
      <c r="V180" s="2">
        <v>-111.232978042293</v>
      </c>
      <c r="W180" s="2">
        <v>275.05455034947801</v>
      </c>
      <c r="X180" s="2">
        <v>-509.02970978430898</v>
      </c>
    </row>
    <row r="181" spans="19:31" x14ac:dyDescent="0.3">
      <c r="S181" s="2">
        <v>-2.4999999999999698</v>
      </c>
      <c r="T181" s="2">
        <v>224.38299855421599</v>
      </c>
      <c r="U181" s="9">
        <v>-2.32339884144501E-2</v>
      </c>
      <c r="V181" s="2">
        <v>-112.595297641258</v>
      </c>
      <c r="W181" s="2">
        <v>249.742098020231</v>
      </c>
      <c r="X181" s="2">
        <v>-503.43432803061899</v>
      </c>
    </row>
    <row r="182" spans="19:31" x14ac:dyDescent="0.3">
      <c r="S182" s="2">
        <v>-2.5499999999999701</v>
      </c>
      <c r="T182" s="2">
        <v>227.68254361445699</v>
      </c>
      <c r="U182" s="9">
        <v>-2.2965040996805498E-2</v>
      </c>
      <c r="V182" s="2">
        <v>-113.956353178489</v>
      </c>
      <c r="W182" s="2">
        <v>224.71111754641601</v>
      </c>
      <c r="X182" s="2">
        <v>-497.77086727865799</v>
      </c>
    </row>
    <row r="183" spans="19:31" x14ac:dyDescent="0.3">
      <c r="S183" s="2">
        <v>-2.5999999999999699</v>
      </c>
      <c r="T183" s="2">
        <v>230.997148915662</v>
      </c>
      <c r="U183" s="9">
        <v>-2.26958393724178E-2</v>
      </c>
      <c r="V183" s="2">
        <v>-114.66916420114499</v>
      </c>
      <c r="W183" s="2">
        <v>199.96501129236501</v>
      </c>
      <c r="X183" s="2">
        <v>-492.05539583770599</v>
      </c>
    </row>
    <row r="184" spans="19:31" x14ac:dyDescent="0.3">
      <c r="S184" s="2">
        <v>-2.6499999999999702</v>
      </c>
      <c r="T184" s="2">
        <v>234.32681445783101</v>
      </c>
      <c r="U184" s="9">
        <v>-2.2426411535572101E-2</v>
      </c>
      <c r="V184" s="2">
        <v>-114.94115430557601</v>
      </c>
      <c r="W184" s="2">
        <v>175.50557796264499</v>
      </c>
      <c r="X184" s="2">
        <v>-486.31513772572703</v>
      </c>
    </row>
    <row r="185" spans="19:31" x14ac:dyDescent="0.3">
      <c r="S185" s="2">
        <v>-2.69999999999997</v>
      </c>
      <c r="T185" s="2">
        <v>237.671540240963</v>
      </c>
      <c r="U185" s="9">
        <v>-2.21567851562516E-2</v>
      </c>
      <c r="V185" s="2">
        <v>-115.18016742944999</v>
      </c>
      <c r="W185" s="2">
        <v>151.33349751979199</v>
      </c>
      <c r="X185" s="2">
        <v>-480.56210461950798</v>
      </c>
    </row>
    <row r="186" spans="19:31" x14ac:dyDescent="0.3">
      <c r="S186" s="2">
        <v>-2.7499999999999698</v>
      </c>
      <c r="T186" s="2">
        <v>241.03132626505999</v>
      </c>
      <c r="U186" s="9">
        <v>-2.18869875793689E-2</v>
      </c>
      <c r="V186" s="2">
        <v>-115.386037712209</v>
      </c>
      <c r="W186" s="2">
        <v>127.449367500694</v>
      </c>
      <c r="X186" s="2">
        <v>-474.797949387014</v>
      </c>
    </row>
    <row r="187" spans="19:31" x14ac:dyDescent="0.3">
      <c r="S187" s="2">
        <v>-2.7999999999999701</v>
      </c>
      <c r="T187" s="2">
        <v>244.40617253011999</v>
      </c>
      <c r="U187" s="9">
        <v>-2.1617045824089701E-2</v>
      </c>
      <c r="V187" s="2">
        <v>-115.55860523346399</v>
      </c>
      <c r="W187" s="2">
        <v>103.853702581091</v>
      </c>
      <c r="X187" s="2">
        <v>-469.02433326881197</v>
      </c>
    </row>
    <row r="188" spans="19:31" x14ac:dyDescent="0.3">
      <c r="S188" s="2">
        <v>-2.8499999999999699</v>
      </c>
      <c r="T188" s="2">
        <v>247.79607903614399</v>
      </c>
      <c r="U188" s="9">
        <v>-2.1346986583250401E-2</v>
      </c>
      <c r="V188" s="2">
        <v>-115.69771597914701</v>
      </c>
      <c r="W188" s="2">
        <v>80.546934173813398</v>
      </c>
      <c r="X188" s="2">
        <v>-463.242925172686</v>
      </c>
    </row>
    <row r="189" spans="19:31" x14ac:dyDescent="0.3">
      <c r="S189" s="2">
        <v>-2.8999999999999702</v>
      </c>
      <c r="T189" s="2">
        <v>251.201045783132</v>
      </c>
      <c r="U189" s="9">
        <v>-2.1076836222870401E-2</v>
      </c>
      <c r="V189" s="2">
        <v>-115.80322180631801</v>
      </c>
      <c r="W189" s="2">
        <v>57.529410063822702</v>
      </c>
      <c r="X189" s="2">
        <v>-457.45540139761601</v>
      </c>
    </row>
    <row r="190" spans="19:31" x14ac:dyDescent="0.3">
      <c r="S190" s="2">
        <v>-2.94999999999997</v>
      </c>
      <c r="T190" s="2">
        <v>254.62107277108399</v>
      </c>
      <c r="U190" s="9">
        <v>-2.0806620781758701E-2</v>
      </c>
      <c r="V190" s="2">
        <v>-115.874980406661</v>
      </c>
      <c r="W190" s="2">
        <v>34.801394034051697</v>
      </c>
      <c r="X190" s="2">
        <v>-451.66344600180599</v>
      </c>
    </row>
    <row r="191" spans="19:31" x14ac:dyDescent="0.3">
      <c r="S191" s="2">
        <v>-2.9999999999999698</v>
      </c>
      <c r="T191" s="2">
        <v>258.05615999999998</v>
      </c>
      <c r="U191" s="9">
        <v>-2.0536365971215199E-2</v>
      </c>
      <c r="V191" s="2">
        <v>-115.912855268732</v>
      </c>
      <c r="W191" s="2">
        <v>12.363065463642</v>
      </c>
      <c r="X191" s="2">
        <v>-445.868750066632</v>
      </c>
    </row>
    <row r="192" spans="19:31" x14ac:dyDescent="0.3">
      <c r="S192" s="2">
        <v>-3.0499999999999701</v>
      </c>
      <c r="T192" s="2">
        <v>259.62893498327702</v>
      </c>
      <c r="U192" s="9">
        <v>-2.0266097174827798E-2</v>
      </c>
      <c r="V192" s="2">
        <v>-115.084541246022</v>
      </c>
      <c r="W192" s="2">
        <v>-9.7854809726114205</v>
      </c>
      <c r="X192" s="2">
        <v>-440.09381512577301</v>
      </c>
    </row>
    <row r="193" spans="19:24" x14ac:dyDescent="0.3">
      <c r="S193" s="2">
        <v>-3.0999999999999699</v>
      </c>
      <c r="T193" s="2">
        <v>261.26221498327698</v>
      </c>
      <c r="U193" s="9">
        <v>-1.9995839448365499E-2</v>
      </c>
      <c r="V193" s="2">
        <v>-114.264158021215</v>
      </c>
      <c r="W193" s="2">
        <v>-31.646316048935301</v>
      </c>
      <c r="X193" s="2">
        <v>-434.36009751789601</v>
      </c>
    </row>
    <row r="194" spans="19:24" x14ac:dyDescent="0.3">
      <c r="S194" s="2">
        <v>-3.1499999999999702</v>
      </c>
      <c r="T194" s="2">
        <v>262.89758528428001</v>
      </c>
      <c r="U194" s="9">
        <v>-1.9725617522120899E-2</v>
      </c>
      <c r="V194" s="2">
        <v>-113.42557337722801</v>
      </c>
      <c r="W194" s="2">
        <v>-53.221490724401001</v>
      </c>
      <c r="X194" s="2">
        <v>-428.66785427878102</v>
      </c>
    </row>
    <row r="195" spans="19:24" x14ac:dyDescent="0.3">
      <c r="S195" s="2">
        <v>-3.19999999999997</v>
      </c>
      <c r="T195" s="2">
        <v>264.53504588628698</v>
      </c>
      <c r="U195" s="9">
        <v>-1.9455455803230399E-2</v>
      </c>
      <c r="V195" s="2">
        <v>-112.56889531159599</v>
      </c>
      <c r="W195" s="2">
        <v>-74.513101476813404</v>
      </c>
      <c r="X195" s="2">
        <v>-423.01799253220202</v>
      </c>
    </row>
    <row r="196" spans="19:24" x14ac:dyDescent="0.3">
      <c r="S196" s="2">
        <v>-3.2499999999999698</v>
      </c>
      <c r="T196" s="2">
        <v>266.17459678929703</v>
      </c>
      <c r="U196" s="9">
        <v>-1.9185378378045799E-2</v>
      </c>
      <c r="V196" s="2">
        <v>-111.694233465145</v>
      </c>
      <c r="W196" s="2">
        <v>-95.523289977621204</v>
      </c>
      <c r="X196" s="2">
        <v>-417.41141412688802</v>
      </c>
    </row>
    <row r="197" spans="19:24" x14ac:dyDescent="0.3">
      <c r="S197" s="2">
        <v>-3.2999999999999701</v>
      </c>
      <c r="T197" s="2">
        <v>267.81623799331101</v>
      </c>
      <c r="U197" s="9">
        <v>-1.8915409014556999E-2</v>
      </c>
      <c r="V197" s="2">
        <v>-110.801699089751</v>
      </c>
      <c r="W197" s="2">
        <v>-116.254242889502</v>
      </c>
      <c r="X197" s="2">
        <v>-411.84901566719202</v>
      </c>
    </row>
    <row r="198" spans="19:24" x14ac:dyDescent="0.3">
      <c r="S198" s="2">
        <v>-3.3499999999999699</v>
      </c>
      <c r="T198" s="2">
        <v>269.45996949832698</v>
      </c>
      <c r="U198" s="9">
        <v>-1.8645571164865898E-2</v>
      </c>
      <c r="V198" s="2">
        <v>-109.891405016703</v>
      </c>
      <c r="W198" s="2">
        <v>-136.70819154434</v>
      </c>
      <c r="X198" s="2">
        <v>-406.331687869044</v>
      </c>
    </row>
    <row r="199" spans="19:24" x14ac:dyDescent="0.3">
      <c r="S199" s="2">
        <v>-3.3999999999999702</v>
      </c>
      <c r="T199" s="2">
        <v>271.10579130434701</v>
      </c>
      <c r="U199" s="9">
        <v>-1.8375887967710499E-2</v>
      </c>
      <c r="V199" s="2">
        <v>-108.96346562568201</v>
      </c>
      <c r="W199" s="2">
        <v>-156.887411676406</v>
      </c>
      <c r="X199" s="2">
        <v>-400.860316019984</v>
      </c>
    </row>
    <row r="200" spans="19:24" x14ac:dyDescent="0.3">
      <c r="S200" s="2">
        <v>-3.44999999999997</v>
      </c>
      <c r="T200" s="2">
        <v>272.75370341137102</v>
      </c>
      <c r="U200" s="9">
        <v>-1.8106382251039301E-2</v>
      </c>
      <c r="V200" s="2">
        <v>-108.017996814368</v>
      </c>
      <c r="W200" s="2">
        <v>-176.79422314633899</v>
      </c>
      <c r="X200" s="2">
        <v>-395.435779335115</v>
      </c>
    </row>
    <row r="201" spans="19:24" x14ac:dyDescent="0.3">
      <c r="S201" s="2">
        <v>-3.4999999999999698</v>
      </c>
      <c r="T201" s="2">
        <v>274.403705819398</v>
      </c>
      <c r="U201" s="9">
        <v>-1.7837076534635898E-2</v>
      </c>
      <c r="V201" s="2">
        <v>-107.055115968686</v>
      </c>
      <c r="W201" s="2">
        <v>-196.43098960991799</v>
      </c>
      <c r="X201" s="2">
        <v>-390.05895138647202</v>
      </c>
    </row>
    <row r="202" spans="19:24" x14ac:dyDescent="0.3">
      <c r="S202" s="2">
        <v>-3.5499999999999701</v>
      </c>
      <c r="T202" s="2">
        <v>276.055798528428</v>
      </c>
      <c r="U202" s="9">
        <v>-1.7567993032792498E-2</v>
      </c>
      <c r="V202" s="2">
        <v>-106.07494193371301</v>
      </c>
      <c r="W202" s="2">
        <v>-215.80011828498601</v>
      </c>
      <c r="X202" s="2">
        <v>-384.73070004167698</v>
      </c>
    </row>
    <row r="203" spans="19:24" x14ac:dyDescent="0.3">
      <c r="S203" s="2">
        <v>-3.5999999999999699</v>
      </c>
      <c r="T203" s="2">
        <v>277.70998153846102</v>
      </c>
      <c r="U203" s="9">
        <v>-1.72991536570333E-2</v>
      </c>
      <c r="V203" s="2">
        <v>-105.07759498525201</v>
      </c>
      <c r="W203" s="2">
        <v>-234.90405961408601</v>
      </c>
      <c r="X203" s="2">
        <v>-379.45188651320899</v>
      </c>
    </row>
    <row r="204" spans="19:24" x14ac:dyDescent="0.3">
      <c r="S204" s="2">
        <v>-3.6499999999999702</v>
      </c>
      <c r="T204" s="2">
        <v>279.36625484949798</v>
      </c>
      <c r="U204" s="9">
        <v>-1.7030580018887E-2</v>
      </c>
      <c r="V204" s="2">
        <v>-104.06319680208099</v>
      </c>
      <c r="W204" s="2">
        <v>-253.745306936307</v>
      </c>
      <c r="X204" s="2">
        <v>-374.22336643181302</v>
      </c>
    </row>
    <row r="205" spans="19:24" x14ac:dyDescent="0.3">
      <c r="S205" s="2">
        <v>-3.69999999999997</v>
      </c>
      <c r="T205" s="2">
        <v>281.02461846153801</v>
      </c>
      <c r="U205" s="9">
        <v>-1.67622934327065E-2</v>
      </c>
      <c r="V205" s="2">
        <v>-103.03187043890399</v>
      </c>
      <c r="W205" s="2">
        <v>-272.32639625726699</v>
      </c>
      <c r="X205" s="2">
        <v>-369.04598953981201</v>
      </c>
    </row>
    <row r="206" spans="19:24" x14ac:dyDescent="0.3">
      <c r="S206" s="2">
        <v>-3.7499999999999698</v>
      </c>
      <c r="T206" s="2">
        <v>282.68507237458101</v>
      </c>
      <c r="U206" s="9">
        <v>-1.64943149185388E-2</v>
      </c>
      <c r="V206" s="2">
        <v>-101.983740300006</v>
      </c>
      <c r="W206" s="2">
        <v>-290.64990589028798</v>
      </c>
      <c r="X206" s="2">
        <v>-363.920599108396</v>
      </c>
    </row>
    <row r="207" spans="19:24" x14ac:dyDescent="0.3">
      <c r="S207" s="2">
        <v>-3.7999999999999701</v>
      </c>
      <c r="T207" s="2">
        <v>284.347616588628</v>
      </c>
      <c r="U207" s="9">
        <v>-1.6226665205040802E-2</v>
      </c>
      <c r="V207" s="2">
        <v>-100.918932113626</v>
      </c>
      <c r="W207" s="2">
        <v>-308.71845616810702</v>
      </c>
      <c r="X207" s="2">
        <v>-358.84803221364501</v>
      </c>
    </row>
    <row r="208" spans="19:24" x14ac:dyDescent="0.3">
      <c r="S208" s="2">
        <v>-3.8499999999999699</v>
      </c>
      <c r="T208" s="2">
        <v>286.01225110367898</v>
      </c>
      <c r="U208" s="9">
        <v>-1.59593647324444E-2</v>
      </c>
      <c r="V208" s="2">
        <v>-99.837572907066701</v>
      </c>
      <c r="W208" s="2">
        <v>-326.534709111653</v>
      </c>
      <c r="X208" s="2">
        <v>-353.82911953718201</v>
      </c>
    </row>
    <row r="209" spans="19:24" x14ac:dyDescent="0.3">
      <c r="S209" s="2">
        <v>-3.8999999999999702</v>
      </c>
      <c r="T209" s="2">
        <v>287.67897591973201</v>
      </c>
      <c r="U209" s="9">
        <v>-1.5692433655567301E-2</v>
      </c>
      <c r="V209" s="2">
        <v>-98.739790982544903</v>
      </c>
      <c r="W209" s="2">
        <v>-344.10136812182498</v>
      </c>
      <c r="X209" s="2">
        <v>-348.86468524349101</v>
      </c>
    </row>
    <row r="210" spans="19:24" x14ac:dyDescent="0.3">
      <c r="S210" s="2">
        <v>-3.94999999999997</v>
      </c>
      <c r="T210" s="2">
        <v>289.34779103678898</v>
      </c>
      <c r="U210" s="9">
        <v>-1.54258918468717E-2</v>
      </c>
      <c r="V210" s="2">
        <v>-97.625715893804895</v>
      </c>
      <c r="W210" s="2">
        <v>-361.42117763600203</v>
      </c>
      <c r="X210" s="2">
        <v>-343.955547424624</v>
      </c>
    </row>
    <row r="211" spans="19:24" x14ac:dyDescent="0.3">
      <c r="S211" s="2">
        <v>-3.9999999999999698</v>
      </c>
      <c r="T211" s="2">
        <v>291.01869645484902</v>
      </c>
      <c r="U211" s="9">
        <v>-1.51597588995687E-2</v>
      </c>
      <c r="V211" s="2">
        <v>-96.495478423497502</v>
      </c>
      <c r="W211" s="2">
        <v>-378.496922864287</v>
      </c>
      <c r="X211" s="2">
        <v>-339.102517517487</v>
      </c>
    </row>
    <row r="212" spans="19:24" x14ac:dyDescent="0.3">
      <c r="S212" s="2">
        <v>-4.0499999999999696</v>
      </c>
      <c r="T212" s="2">
        <v>292.691692173913</v>
      </c>
      <c r="U212" s="9">
        <v>-1.48940541307693E-2</v>
      </c>
      <c r="V212" s="2">
        <v>-95.349210561345799</v>
      </c>
      <c r="W212" s="2">
        <v>-395.33142938775001</v>
      </c>
      <c r="X212" s="2">
        <v>-334.30640015049801</v>
      </c>
    </row>
    <row r="213" spans="19:24" x14ac:dyDescent="0.3">
      <c r="S213" s="2">
        <v>-4.0999999999999703</v>
      </c>
      <c r="T213" s="2">
        <v>294.36677819398</v>
      </c>
      <c r="U213" s="9">
        <v>-1.46287965846805E-2</v>
      </c>
      <c r="V213" s="2">
        <v>-94.187045483104001</v>
      </c>
      <c r="W213" s="2">
        <v>-411.92756287933702</v>
      </c>
      <c r="X213" s="2">
        <v>-329.56799363428701</v>
      </c>
    </row>
    <row r="214" spans="19:24" x14ac:dyDescent="0.3">
      <c r="S214" s="2">
        <v>-4.1499999999999702</v>
      </c>
      <c r="T214" s="2">
        <v>296.04395451505002</v>
      </c>
      <c r="U214" s="9">
        <v>-1.4364005035847701E-2</v>
      </c>
      <c r="V214" s="2">
        <v>-93.0091175303249</v>
      </c>
      <c r="W214" s="2">
        <v>-428.28822875117902</v>
      </c>
      <c r="X214" s="2">
        <v>-324.88808950166703</v>
      </c>
    </row>
    <row r="215" spans="19:24" x14ac:dyDescent="0.3">
      <c r="S215" s="2">
        <v>-4.19999999999997</v>
      </c>
      <c r="T215" s="2">
        <v>297.72322113712301</v>
      </c>
      <c r="U215" s="9">
        <v>-1.40996979924409E-2</v>
      </c>
      <c r="V215" s="2">
        <v>-91.8155621909481</v>
      </c>
      <c r="W215" s="2">
        <v>-444.41637182950399</v>
      </c>
      <c r="X215" s="2">
        <v>-320.26747249229402</v>
      </c>
    </row>
    <row r="216" spans="19:24" x14ac:dyDescent="0.3">
      <c r="S216" s="2">
        <v>-4.2499999999999698</v>
      </c>
      <c r="T216" s="2">
        <v>299.40457806019998</v>
      </c>
      <c r="U216" s="9">
        <v>-1.3835893699586399E-2</v>
      </c>
      <c r="V216" s="2">
        <v>-90.606516080719103</v>
      </c>
      <c r="W216" s="2">
        <v>-460.31497600040899</v>
      </c>
      <c r="X216" s="2">
        <v>-315.70692050666599</v>
      </c>
    </row>
    <row r="217" spans="19:24" x14ac:dyDescent="0.3">
      <c r="S217" s="2">
        <v>-4.2999999999999696</v>
      </c>
      <c r="T217" s="2">
        <v>301.08802528427998</v>
      </c>
      <c r="U217" s="9">
        <v>-1.35726101427424E-2</v>
      </c>
      <c r="V217" s="2">
        <v>-89.382116925453303</v>
      </c>
      <c r="W217" s="2">
        <v>-475.98706388017098</v>
      </c>
      <c r="X217" s="2">
        <v>-311.20720471346698</v>
      </c>
    </row>
    <row r="218" spans="19:24" x14ac:dyDescent="0.3">
      <c r="S218" s="2">
        <v>-4.3499999999999703</v>
      </c>
      <c r="T218" s="2">
        <v>302.77356280936402</v>
      </c>
      <c r="U218" s="9">
        <v>-1.3309865051117999E-2</v>
      </c>
      <c r="V218" s="2">
        <v>-88.142503544157194</v>
      </c>
      <c r="W218" s="2">
        <v>-491.43569647175502</v>
      </c>
      <c r="X218" s="2">
        <v>-306.76908908952998</v>
      </c>
    </row>
    <row r="219" spans="19:24" x14ac:dyDescent="0.3">
      <c r="S219" s="2">
        <v>-4.3999999999999702</v>
      </c>
      <c r="T219" s="2">
        <v>304.46119063545098</v>
      </c>
      <c r="U219" s="9">
        <v>-1.30476759011365E-2</v>
      </c>
      <c r="V219" s="2">
        <v>-86.887815833016404</v>
      </c>
      <c r="W219" s="2">
        <v>-506.66397278912399</v>
      </c>
      <c r="X219" s="2">
        <v>-302.39333094121002</v>
      </c>
    </row>
    <row r="220" spans="19:24" x14ac:dyDescent="0.3">
      <c r="S220" s="2">
        <v>-4.44999999999997</v>
      </c>
      <c r="T220" s="2">
        <v>306.15090876254101</v>
      </c>
      <c r="U220" s="9">
        <v>-1.27860599199406E-2</v>
      </c>
      <c r="V220" s="2">
        <v>-85.618194750265303</v>
      </c>
      <c r="W220" s="2">
        <v>-521.675029565876</v>
      </c>
      <c r="X220" s="2">
        <v>-298.08068064369797</v>
      </c>
    </row>
    <row r="221" spans="19:24" x14ac:dyDescent="0.3">
      <c r="S221" s="2">
        <v>-4.4999999999999698</v>
      </c>
      <c r="T221" s="2">
        <v>307.84271719063503</v>
      </c>
      <c r="U221" s="9">
        <v>-1.25250340889414E-2</v>
      </c>
      <c r="V221" s="2">
        <v>-84.333782301948105</v>
      </c>
      <c r="W221" s="2">
        <v>-536.47204085349301</v>
      </c>
      <c r="X221" s="2">
        <v>-293.83188113498301</v>
      </c>
    </row>
    <row r="222" spans="19:24" x14ac:dyDescent="0.3">
      <c r="S222" s="2">
        <v>-4.5499999999999696</v>
      </c>
      <c r="T222" s="2">
        <v>309.53661591973201</v>
      </c>
      <c r="U222" s="9">
        <v>-1.22646151474088E-2</v>
      </c>
      <c r="V222" s="2">
        <v>-83.034721528583404</v>
      </c>
      <c r="W222" s="2">
        <v>-551.05821767937505</v>
      </c>
      <c r="X222" s="2">
        <v>-289.64766843722401</v>
      </c>
    </row>
    <row r="223" spans="19:24" x14ac:dyDescent="0.3">
      <c r="S223" s="2">
        <v>-4.5999999999999703</v>
      </c>
      <c r="T223" s="2">
        <v>311.23260494983202</v>
      </c>
      <c r="U223" s="9">
        <v>-1.2004819596104201E-2</v>
      </c>
      <c r="V223" s="2">
        <v>-81.721156492745195</v>
      </c>
      <c r="W223" s="2">
        <v>-565.43680769721595</v>
      </c>
      <c r="X223" s="2">
        <v>-285.52877133473203</v>
      </c>
    </row>
    <row r="224" spans="19:24" x14ac:dyDescent="0.3">
      <c r="S224" s="2">
        <v>-4.6499999999999702</v>
      </c>
      <c r="T224" s="2">
        <v>312.93068428093602</v>
      </c>
      <c r="U224" s="9">
        <v>-1.1745663700954E-2</v>
      </c>
      <c r="V224" s="2">
        <v>-80.3932322675698</v>
      </c>
      <c r="W224" s="2">
        <v>-579.61109481284802</v>
      </c>
      <c r="X224" s="2">
        <v>-281.47591141996099</v>
      </c>
    </row>
    <row r="225" spans="19:24" x14ac:dyDescent="0.3">
      <c r="S225" s="2">
        <v>-4.69999999999997</v>
      </c>
      <c r="T225" s="2">
        <v>314.63085391304298</v>
      </c>
      <c r="U225" s="9">
        <v>-1.1487163496765099E-2</v>
      </c>
      <c r="V225" s="2">
        <v>-79.051094926201699</v>
      </c>
      <c r="W225" s="2">
        <v>-593.58439883921199</v>
      </c>
      <c r="X225" s="2">
        <v>-277.48980320086201</v>
      </c>
    </row>
    <row r="226" spans="19:24" x14ac:dyDescent="0.3">
      <c r="S226" s="2">
        <v>-4.7499999999999698</v>
      </c>
      <c r="T226" s="2">
        <v>316.33311384615303</v>
      </c>
      <c r="U226" s="9">
        <v>-1.12293347909801E-2</v>
      </c>
      <c r="V226" s="2">
        <v>-77.694891532189502</v>
      </c>
      <c r="W226" s="2">
        <v>-607.36007513293396</v>
      </c>
      <c r="X226" s="2">
        <v>-273.57115347216597</v>
      </c>
    </row>
    <row r="227" spans="19:24" x14ac:dyDescent="0.3">
      <c r="S227" s="2">
        <v>-4.7999999999999696</v>
      </c>
      <c r="T227" s="2">
        <v>318.037464080267</v>
      </c>
      <c r="U227" s="9">
        <v>-1.09721931674734E-2</v>
      </c>
      <c r="V227" s="2">
        <v>-76.324770130842097</v>
      </c>
      <c r="W227" s="2">
        <v>-620.941514186429</v>
      </c>
      <c r="X227" s="2">
        <v>-269.72066182141498</v>
      </c>
    </row>
    <row r="228" spans="19:24" x14ac:dyDescent="0.3">
      <c r="S228" s="2">
        <v>-4.8499999999999703</v>
      </c>
      <c r="T228" s="2">
        <v>319.743904615384</v>
      </c>
      <c r="U228" s="9">
        <v>-1.0715753990386399E-2</v>
      </c>
      <c r="V228" s="2">
        <v>-74.940879741558305</v>
      </c>
      <c r="W228" s="2">
        <v>-634.332141315076</v>
      </c>
      <c r="X228" s="2">
        <v>-265.93902047562801</v>
      </c>
    </row>
    <row r="229" spans="19:24" x14ac:dyDescent="0.3">
      <c r="S229" s="2">
        <v>-4.8999999999999702</v>
      </c>
      <c r="T229" s="2">
        <v>321.45243545150498</v>
      </c>
      <c r="U229" s="9">
        <v>-1.0460032408002499E-2</v>
      </c>
      <c r="V229" s="2">
        <v>-73.543370351139302</v>
      </c>
      <c r="W229" s="2">
        <v>-647.53541623399201</v>
      </c>
      <c r="X229" s="2">
        <v>-262.22691402527403</v>
      </c>
    </row>
    <row r="230" spans="19:24" x14ac:dyDescent="0.3">
      <c r="S230" s="2">
        <v>-4.94999999999997</v>
      </c>
      <c r="T230" s="2">
        <v>323.16305658862802</v>
      </c>
      <c r="U230" s="9">
        <v>-1.0205043356661199E-2</v>
      </c>
      <c r="V230" s="2">
        <v>-72.132392908095198</v>
      </c>
      <c r="W230" s="2">
        <v>-660.55483271760295</v>
      </c>
      <c r="X230" s="2">
        <v>-258.58501988430402</v>
      </c>
    </row>
    <row r="231" spans="19:24" x14ac:dyDescent="0.3">
      <c r="S231" s="2">
        <v>-4.9999999999999698</v>
      </c>
      <c r="T231" s="2">
        <v>324.875768026755</v>
      </c>
      <c r="U231" s="9">
        <v>-9.9508015647100396E-3</v>
      </c>
      <c r="V231" s="2">
        <v>-70.708099317957505</v>
      </c>
      <c r="W231" s="2">
        <v>-673.39391822242203</v>
      </c>
      <c r="X231" s="2">
        <v>-255.014007584777</v>
      </c>
    </row>
    <row r="232" spans="19:24" x14ac:dyDescent="0.3">
      <c r="S232" s="2">
        <v>-5.0499999999999696</v>
      </c>
      <c r="T232" s="2">
        <v>326.59056976588602</v>
      </c>
      <c r="U232" s="9">
        <v>-9.6973215564954696E-3</v>
      </c>
      <c r="V232" s="2">
        <v>-69.270642439607698</v>
      </c>
      <c r="W232" s="2">
        <v>-686.05623347608105</v>
      </c>
      <c r="X232" s="2">
        <v>-251.51453893019001</v>
      </c>
    </row>
    <row r="233" spans="19:24" x14ac:dyDescent="0.3">
      <c r="S233" s="2">
        <v>-5.0999999999999597</v>
      </c>
      <c r="T233" s="2">
        <v>328.30746180602</v>
      </c>
      <c r="U233" s="9">
        <v>-9.4446176563907306E-3</v>
      </c>
      <c r="V233" s="2">
        <v>-67.820176082632599</v>
      </c>
      <c r="W233" s="2">
        <v>-698.54537211544095</v>
      </c>
      <c r="X233" s="2">
        <v>-248.08726834818</v>
      </c>
    </row>
    <row r="234" spans="19:24" x14ac:dyDescent="0.3">
      <c r="S234" s="2">
        <v>-5.1499999999999702</v>
      </c>
      <c r="T234" s="2">
        <v>330.02644414715701</v>
      </c>
      <c r="U234" s="9">
        <v>-9.1927039928612602E-3</v>
      </c>
      <c r="V234" s="2">
        <v>-66.356855005716895</v>
      </c>
      <c r="W234" s="2">
        <v>-710.86496031089905</v>
      </c>
      <c r="X234" s="2">
        <v>-244.73284243049</v>
      </c>
    </row>
    <row r="235" spans="19:24" x14ac:dyDescent="0.3">
      <c r="S235" s="2">
        <v>-5.19999999999997</v>
      </c>
      <c r="T235" s="2">
        <v>331.74751678929698</v>
      </c>
      <c r="U235" s="9">
        <v>-8.9415945025668308E-3</v>
      </c>
      <c r="V235" s="2">
        <v>-64.880834916084396</v>
      </c>
      <c r="W235" s="2">
        <v>-723.01865635849003</v>
      </c>
      <c r="X235" s="2">
        <v>-241.45190008630999</v>
      </c>
    </row>
    <row r="236" spans="19:24" x14ac:dyDescent="0.3">
      <c r="S236" s="2">
        <v>-5.2499999999999698</v>
      </c>
      <c r="T236" s="2">
        <v>333.470679732441</v>
      </c>
      <c r="U236" s="9">
        <v>-8.6913029345000292E-3</v>
      </c>
      <c r="V236" s="2">
        <v>-63.392272469997501</v>
      </c>
      <c r="W236" s="2">
        <v>-735.01015031953</v>
      </c>
      <c r="X236" s="2">
        <v>-238.24507243493699</v>
      </c>
    </row>
    <row r="237" spans="19:24" x14ac:dyDescent="0.3">
      <c r="S237" s="2">
        <v>-5.2999999999999599</v>
      </c>
      <c r="T237" s="2">
        <v>335.19593297658798</v>
      </c>
      <c r="U237" s="9">
        <v>-8.4418428541606708E-3</v>
      </c>
      <c r="V237" s="2">
        <v>-61.891325274324899</v>
      </c>
      <c r="W237" s="2">
        <v>-746.84316360198397</v>
      </c>
      <c r="X237" s="2">
        <v>-235.11298243774999</v>
      </c>
    </row>
    <row r="238" spans="19:24" x14ac:dyDescent="0.3">
      <c r="S238" s="2">
        <v>-5.3499999999999597</v>
      </c>
      <c r="T238" s="2">
        <v>336.92327652173901</v>
      </c>
      <c r="U238" s="9">
        <v>-8.1932276477656996E-3</v>
      </c>
      <c r="V238" s="2">
        <v>-60.378151889188999</v>
      </c>
      <c r="W238" s="2">
        <v>-758.52144856330494</v>
      </c>
      <c r="X238" s="2">
        <v>-232.05624545024801</v>
      </c>
    </row>
    <row r="239" spans="19:24" x14ac:dyDescent="0.3">
      <c r="S239" s="2">
        <v>-5.3999999999999702</v>
      </c>
      <c r="T239" s="2">
        <v>338.65271036789301</v>
      </c>
      <c r="U239" s="9">
        <v>-7.9454705264940598E-3</v>
      </c>
      <c r="V239" s="2">
        <v>-58.852911831702201</v>
      </c>
      <c r="W239" s="2">
        <v>-770.04878814700896</v>
      </c>
      <c r="X239" s="2">
        <v>-229.07546879268901</v>
      </c>
    </row>
    <row r="240" spans="19:24" x14ac:dyDescent="0.3">
      <c r="S240" s="2">
        <v>-5.4499999999999602</v>
      </c>
      <c r="T240" s="2">
        <v>340.38423451505003</v>
      </c>
      <c r="U240" s="9">
        <v>-7.6985845307661997E-3</v>
      </c>
      <c r="V240" s="2">
        <v>-57.315765580801802</v>
      </c>
      <c r="W240" s="2">
        <v>-781.42899544257398</v>
      </c>
      <c r="X240" s="2">
        <v>-226.17125173474901</v>
      </c>
    </row>
    <row r="241" spans="19:24" x14ac:dyDescent="0.3">
      <c r="S241" s="2">
        <v>-5.49999999999996</v>
      </c>
      <c r="T241" s="2">
        <v>342.11784896321001</v>
      </c>
      <c r="U241" s="9">
        <v>-7.4525825345576604E-3</v>
      </c>
      <c r="V241" s="2">
        <v>-55.7668745831946</v>
      </c>
      <c r="W241" s="2">
        <v>-792.66591332048404</v>
      </c>
      <c r="X241" s="2">
        <v>-223.34418569487701</v>
      </c>
    </row>
    <row r="242" spans="19:24" x14ac:dyDescent="0.3">
      <c r="S242" s="2">
        <v>-5.5499999999999599</v>
      </c>
      <c r="T242" s="2">
        <v>343.85355371237398</v>
      </c>
      <c r="U242" s="9">
        <v>-7.2074772497463802E-3</v>
      </c>
      <c r="V242" s="2">
        <v>-54.206401260419597</v>
      </c>
      <c r="W242" s="2">
        <v>-803.76341401206196</v>
      </c>
      <c r="X242" s="2">
        <v>-220.59485378792701</v>
      </c>
    </row>
    <row r="243" spans="19:24" x14ac:dyDescent="0.3">
      <c r="S243" s="2">
        <v>-5.5999999999999597</v>
      </c>
      <c r="T243" s="2">
        <v>345.59134876254097</v>
      </c>
      <c r="U243" s="9">
        <v>-6.9632812304931697E-3</v>
      </c>
      <c r="V243" s="2">
        <v>-52.6345090170391</v>
      </c>
      <c r="W243" s="2">
        <v>-814.72539869927698</v>
      </c>
      <c r="X243" s="2">
        <v>-217.92383097849699</v>
      </c>
    </row>
    <row r="244" spans="19:24" x14ac:dyDescent="0.3">
      <c r="S244" s="2">
        <v>-5.6499999999999604</v>
      </c>
      <c r="T244" s="2">
        <v>347.33123411371201</v>
      </c>
      <c r="U244" s="9">
        <v>-6.7200068776549996E-3</v>
      </c>
      <c r="V244" s="2">
        <v>-51.0513622499682</v>
      </c>
      <c r="W244" s="2">
        <v>-825.55579710991196</v>
      </c>
      <c r="X244" s="2">
        <v>-215.33168414227501</v>
      </c>
    </row>
    <row r="245" spans="19:24" x14ac:dyDescent="0.3">
      <c r="S245" s="2">
        <v>-5.6999999999999602</v>
      </c>
      <c r="T245" s="2">
        <v>349.07320976588602</v>
      </c>
      <c r="U245" s="9">
        <v>-6.4776664432305E-3</v>
      </c>
      <c r="V245" s="2">
        <v>-49.457126358951001</v>
      </c>
      <c r="W245" s="2">
        <v>-836.258567113504</v>
      </c>
      <c r="X245" s="2">
        <v>-212.81897188968901</v>
      </c>
    </row>
    <row r="246" spans="19:24" x14ac:dyDescent="0.3">
      <c r="S246" s="2">
        <v>-5.74999999999996</v>
      </c>
      <c r="T246" s="2">
        <v>350.81727571906299</v>
      </c>
      <c r="U246" s="9">
        <v>-6.2362720348373701E-3</v>
      </c>
      <c r="V246" s="2">
        <v>-47.851967758194</v>
      </c>
      <c r="W246" s="2">
        <v>-846.83769429888105</v>
      </c>
      <c r="X246" s="2">
        <v>-210.38624448156401</v>
      </c>
    </row>
    <row r="247" spans="19:24" x14ac:dyDescent="0.3">
      <c r="S247" s="2">
        <v>-5.7999999999999599</v>
      </c>
      <c r="T247" s="2">
        <v>352.56343197324401</v>
      </c>
      <c r="U247" s="9">
        <v>-5.9958356202211302E-3</v>
      </c>
      <c r="V247" s="2">
        <v>-46.236053889164097</v>
      </c>
      <c r="W247" s="2">
        <v>-857.29719156166095</v>
      </c>
      <c r="X247" s="2">
        <v>-208.03404389046699</v>
      </c>
    </row>
    <row r="248" spans="19:24" x14ac:dyDescent="0.3">
      <c r="S248" s="2">
        <v>-5.8499999999999597</v>
      </c>
      <c r="T248" s="2">
        <v>354.31167852842799</v>
      </c>
      <c r="U248" s="9">
        <v>-5.75636903179469E-3</v>
      </c>
      <c r="V248" s="2">
        <v>-44.6095532345634</v>
      </c>
      <c r="W248" s="2">
        <v>-867.64109868792696</v>
      </c>
      <c r="X248" s="2">
        <v>-205.76290367035901</v>
      </c>
    </row>
    <row r="249" spans="19:24" x14ac:dyDescent="0.3">
      <c r="S249" s="2">
        <v>-5.8999999999999604</v>
      </c>
      <c r="T249" s="2">
        <v>356.06201538461499</v>
      </c>
      <c r="U249" s="9">
        <v>-5.5178839712084803E-3</v>
      </c>
      <c r="V249" s="2">
        <v>-42.972635333485499</v>
      </c>
      <c r="W249" s="2">
        <v>-877.87348192869695</v>
      </c>
      <c r="X249" s="2">
        <v>-203.57334892593099</v>
      </c>
    </row>
    <row r="250" spans="19:24" x14ac:dyDescent="0.3">
      <c r="S250" s="2">
        <v>-5.9499999999999602</v>
      </c>
      <c r="T250" s="2">
        <v>357.81444254180599</v>
      </c>
      <c r="U250" s="9">
        <v>-5.28039201395038E-3</v>
      </c>
      <c r="V250" s="2">
        <v>-41.325470797766002</v>
      </c>
      <c r="W250" s="2">
        <v>-887.99843358051999</v>
      </c>
      <c r="X250" s="2">
        <v>-201.465896235923</v>
      </c>
    </row>
    <row r="251" spans="19:24" x14ac:dyDescent="0.3">
      <c r="S251" s="2">
        <v>-5.99999999999996</v>
      </c>
      <c r="T251" s="2">
        <v>359.56895999999898</v>
      </c>
      <c r="U251" s="9">
        <v>-5.0439046139751902E-3</v>
      </c>
      <c r="V251" s="2">
        <v>-39.668231329533199</v>
      </c>
      <c r="W251" s="2">
        <v>-898.02007155228898</v>
      </c>
      <c r="X251" s="2">
        <v>-199.44105364546999</v>
      </c>
    </row>
    <row r="252" spans="19:24" x14ac:dyDescent="0.3">
      <c r="S252" s="2">
        <v>-6.0499999999999599</v>
      </c>
      <c r="T252" s="2">
        <v>2599.4996376335198</v>
      </c>
      <c r="U252" s="9">
        <v>-4.8084331083630503E-3</v>
      </c>
      <c r="V252" s="2">
        <v>-1499.0514341081</v>
      </c>
      <c r="W252" s="2">
        <v>-907.94253894506699</v>
      </c>
      <c r="X252" s="2">
        <v>-160.974169869376</v>
      </c>
    </row>
    <row r="253" spans="19:24" x14ac:dyDescent="0.3">
      <c r="S253" s="2">
        <v>-6.0999999999999597</v>
      </c>
      <c r="T253" s="2">
        <v>2640.0081770614402</v>
      </c>
      <c r="U253" s="9">
        <v>-4.5739887220063802E-3</v>
      </c>
      <c r="V253" s="2">
        <v>-1461.65383810705</v>
      </c>
      <c r="W253" s="2">
        <v>-914.117488539227</v>
      </c>
      <c r="X253" s="2">
        <v>-86.958642431279699</v>
      </c>
    </row>
    <row r="254" spans="19:24" x14ac:dyDescent="0.3">
      <c r="S254" s="2">
        <v>-6.1499999999999604</v>
      </c>
      <c r="T254" s="2">
        <v>2680.82894913976</v>
      </c>
      <c r="U254" s="9">
        <v>-4.34057844037987E-3</v>
      </c>
      <c r="V254" s="2">
        <v>-1420.47491137406</v>
      </c>
      <c r="W254" s="2">
        <v>-916.63840318819496</v>
      </c>
      <c r="X254" s="2">
        <v>-14.9073088048271</v>
      </c>
    </row>
    <row r="255" spans="19:24" x14ac:dyDescent="0.3">
      <c r="S255" s="2">
        <v>-6.1999999999999602</v>
      </c>
      <c r="T255" s="2">
        <v>2721.9619538684701</v>
      </c>
      <c r="U255" s="9">
        <v>-4.1082051152939404E-3</v>
      </c>
      <c r="V255" s="2">
        <v>-1375.53001266109</v>
      </c>
      <c r="W255" s="2">
        <v>-915.60821941970903</v>
      </c>
      <c r="X255" s="2">
        <v>54.991140639340301</v>
      </c>
    </row>
    <row r="256" spans="19:24" x14ac:dyDescent="0.3">
      <c r="S256" s="2">
        <v>-6.24999999999996</v>
      </c>
      <c r="T256" s="2">
        <v>2763.4071912475902</v>
      </c>
      <c r="U256" s="9">
        <v>-3.8768675813426702E-3</v>
      </c>
      <c r="V256" s="2">
        <v>-1326.854516372</v>
      </c>
      <c r="W256" s="2">
        <v>-911.13928912426104</v>
      </c>
      <c r="X256" s="2">
        <v>122.549282200825</v>
      </c>
    </row>
    <row r="257" spans="19:24" x14ac:dyDescent="0.3">
      <c r="S257" s="2">
        <v>-6.2999999999999599</v>
      </c>
      <c r="T257" s="2">
        <v>2805.1646612771101</v>
      </c>
      <c r="U257" s="9">
        <v>-3.6465607830031199E-3</v>
      </c>
      <c r="V257" s="2">
        <v>-1274.5032896390501</v>
      </c>
      <c r="W257" s="2">
        <v>-903.35329119962705</v>
      </c>
      <c r="X257" s="2">
        <v>187.581946716716</v>
      </c>
    </row>
    <row r="258" spans="19:24" x14ac:dyDescent="0.3">
      <c r="S258" s="2">
        <v>-6.3499999999999597</v>
      </c>
      <c r="T258" s="2">
        <v>2847.2343639570199</v>
      </c>
      <c r="U258" s="9">
        <v>-3.41727591228573E-3</v>
      </c>
      <c r="V258" s="2">
        <v>-1218.54986920241</v>
      </c>
      <c r="W258" s="2">
        <v>-892.38109445258999</v>
      </c>
      <c r="X258" s="2">
        <v>249.90717391157801</v>
      </c>
    </row>
    <row r="259" spans="19:24" x14ac:dyDescent="0.3">
      <c r="S259" s="2">
        <v>-6.3999999999999604</v>
      </c>
      <c r="T259" s="2">
        <v>2889.6162992873401</v>
      </c>
      <c r="U259" s="9">
        <v>-3.1890005567810401E-3</v>
      </c>
      <c r="V259" s="2">
        <v>-1159.0853637637699</v>
      </c>
      <c r="W259" s="2">
        <v>-878.36257380846905</v>
      </c>
      <c r="X259" s="2">
        <v>309.34711863183702</v>
      </c>
    </row>
    <row r="260" spans="19:24" x14ac:dyDescent="0.3">
      <c r="S260" s="2">
        <v>-6.4499999999999602</v>
      </c>
      <c r="T260" s="2">
        <v>2932.3104672680602</v>
      </c>
      <c r="U260" s="9">
        <v>-2.9617188578946402E-3</v>
      </c>
      <c r="V260" s="2">
        <v>-1096.2171149242099</v>
      </c>
      <c r="W260" s="2">
        <v>-861.44638258940597</v>
      </c>
      <c r="X260" s="2">
        <v>365.72889617177702</v>
      </c>
    </row>
    <row r="261" spans="19:24" x14ac:dyDescent="0.3">
      <c r="S261" s="2">
        <v>-6.49999999999996</v>
      </c>
      <c r="T261" s="2">
        <v>2975.3168678991701</v>
      </c>
      <c r="U261" s="9">
        <v>-2.7354116790127099E-3</v>
      </c>
      <c r="V261" s="2">
        <v>-1030.06715569879</v>
      </c>
      <c r="W261" s="2">
        <v>-841.78968419129103</v>
      </c>
      <c r="X261" s="2">
        <v>418.88535569639203</v>
      </c>
    </row>
    <row r="262" spans="19:24" x14ac:dyDescent="0.3">
      <c r="S262" s="2">
        <v>-6.5499999999999599</v>
      </c>
      <c r="T262" s="2">
        <v>3018.63550118069</v>
      </c>
      <c r="U262" s="9">
        <v>-2.5100567832947499E-3</v>
      </c>
      <c r="V262" s="2">
        <v>-960.77050972295604</v>
      </c>
      <c r="W262" s="2">
        <v>-819.557847019767</v>
      </c>
      <c r="X262" s="2">
        <v>468.65577244923202</v>
      </c>
    </row>
    <row r="263" spans="19:24" x14ac:dyDescent="0.3">
      <c r="S263" s="2">
        <v>-6.5999999999999597</v>
      </c>
      <c r="T263" s="2">
        <v>3062.2663671126002</v>
      </c>
      <c r="U263" s="9">
        <v>-2.2856290207482698E-3</v>
      </c>
      <c r="V263" s="2">
        <v>-888.47337653702004</v>
      </c>
      <c r="W263" s="2">
        <v>-794.92410694636806</v>
      </c>
      <c r="X263" s="2">
        <v>514.88645235845797</v>
      </c>
    </row>
    <row r="264" spans="19:24" x14ac:dyDescent="0.3">
      <c r="S264" s="2">
        <v>-6.6499999999999604</v>
      </c>
      <c r="T264" s="2">
        <v>3106.2094656949198</v>
      </c>
      <c r="U264" s="9">
        <v>-2.0621005242036001E-3</v>
      </c>
      <c r="V264" s="2">
        <v>-813.33124877503201</v>
      </c>
      <c r="W264" s="2">
        <v>-768.06920178392102</v>
      </c>
      <c r="X264" s="2">
        <v>557.43124392517905</v>
      </c>
    </row>
    <row r="265" spans="19:24" x14ac:dyDescent="0.3">
      <c r="S265" s="2">
        <v>-6.6999999999999602</v>
      </c>
      <c r="T265" s="2">
        <v>3150.4647969276398</v>
      </c>
      <c r="U265" s="9">
        <v>-1.8394409137754599E-3</v>
      </c>
      <c r="V265" s="2">
        <v>-735.50700581262902</v>
      </c>
      <c r="W265" s="2">
        <v>-739.18098255384996</v>
      </c>
      <c r="X265" s="2">
        <v>596.15195530279595</v>
      </c>
    </row>
    <row r="266" spans="19:24" x14ac:dyDescent="0.3">
      <c r="S266" s="2">
        <v>-6.74999999999996</v>
      </c>
      <c r="T266" s="2">
        <v>3195.0323608107501</v>
      </c>
      <c r="U266" s="9">
        <v>-1.61761750937126E-3</v>
      </c>
      <c r="V266" s="2">
        <v>-655.16902564925203</v>
      </c>
      <c r="W266" s="2">
        <v>-708.45400625364096</v>
      </c>
      <c r="X266" s="2">
        <v>630.91867684147996</v>
      </c>
    </row>
    <row r="267" spans="19:24" x14ac:dyDescent="0.3">
      <c r="S267" s="2">
        <v>-6.7999999999999599</v>
      </c>
      <c r="T267" s="2">
        <v>3239.9121573442699</v>
      </c>
      <c r="U267" s="9">
        <v>-1.39659555078573E-3</v>
      </c>
      <c r="V267" s="2">
        <v>-572.48935277818498</v>
      </c>
      <c r="W267" s="2">
        <v>-676.08911486970203</v>
      </c>
      <c r="X267" s="2">
        <v>661.61001033892899</v>
      </c>
    </row>
    <row r="268" spans="19:24" x14ac:dyDescent="0.3">
      <c r="S268" s="2">
        <v>-6.8499999999999597</v>
      </c>
      <c r="T268" s="2">
        <v>3285.10418652819</v>
      </c>
      <c r="U268" s="9">
        <v>-1.17633842490548E-3</v>
      </c>
      <c r="V268" s="2">
        <v>-487.64195483679401</v>
      </c>
      <c r="W268" s="2">
        <v>-642.29300521974801</v>
      </c>
      <c r="X268" s="2">
        <v>688.11320892969195</v>
      </c>
    </row>
    <row r="269" spans="19:24" x14ac:dyDescent="0.3">
      <c r="S269" s="2">
        <v>-6.8999999999999604</v>
      </c>
      <c r="T269" s="2">
        <v>3330.6084483625</v>
      </c>
      <c r="U269" s="9">
        <v>-9.5680789953685695E-4</v>
      </c>
      <c r="V269" s="2">
        <v>-400.80109524662498</v>
      </c>
      <c r="W269" s="2">
        <v>-607.27779397673305</v>
      </c>
      <c r="X269" s="2">
        <v>710.32423272712401</v>
      </c>
    </row>
    <row r="270" spans="19:24" x14ac:dyDescent="0.3">
      <c r="S270" s="2">
        <v>-6.9499999999999602</v>
      </c>
      <c r="T270" s="2">
        <v>3376.4249428472199</v>
      </c>
      <c r="U270" s="9">
        <v>-7.3796436336507297E-4</v>
      </c>
      <c r="V270" s="2">
        <v>-312.13984315872301</v>
      </c>
      <c r="W270" s="2">
        <v>-571.26058194703603</v>
      </c>
      <c r="X270" s="2">
        <v>728.147726430803</v>
      </c>
    </row>
    <row r="271" spans="19:24" x14ac:dyDescent="0.3">
      <c r="S271" s="2">
        <v>-6.99999999999996</v>
      </c>
      <c r="T271" s="2">
        <v>3422.5536699823401</v>
      </c>
      <c r="U271" s="9">
        <v>-5.1976707155176004E-4</v>
      </c>
      <c r="V271" s="2">
        <v>-221.828736098706</v>
      </c>
      <c r="W271" s="2">
        <v>-534.46302133365202</v>
      </c>
      <c r="X271" s="2">
        <v>741.49692627825402</v>
      </c>
    </row>
    <row r="272" spans="19:24" x14ac:dyDescent="0.3">
      <c r="S272" s="2">
        <v>-7.0499999999999599</v>
      </c>
      <c r="T272" s="2">
        <v>3468.9946297678498</v>
      </c>
      <c r="U272" s="9">
        <v>-3.0217439648125001E-4</v>
      </c>
      <c r="V272" s="2">
        <v>-130.034605005141</v>
      </c>
      <c r="W272" s="2">
        <v>-497.11088931921</v>
      </c>
      <c r="X272" s="2">
        <v>750.29350416145098</v>
      </c>
    </row>
    <row r="273" spans="19:24" x14ac:dyDescent="0.3">
      <c r="S273" s="2">
        <v>-7.0999999999999597</v>
      </c>
      <c r="T273" s="2">
        <v>3515.7478222037698</v>
      </c>
      <c r="U273" s="9">
        <v>-8.5144083173321105E-5</v>
      </c>
      <c r="V273" s="2">
        <v>-36.919566072955099</v>
      </c>
      <c r="W273" s="2">
        <v>-459.43367091750702</v>
      </c>
      <c r="X273" s="2">
        <v>754.46735710408495</v>
      </c>
    </row>
    <row r="274" spans="19:24" x14ac:dyDescent="0.3">
      <c r="S274" s="2">
        <v>-7.1499999999999604</v>
      </c>
      <c r="T274" s="2">
        <v>3562.8132472900902</v>
      </c>
      <c r="U274" s="9">
        <v>1.3136649110953699E-4</v>
      </c>
      <c r="V274" s="2">
        <v>57.3598209004778</v>
      </c>
      <c r="W274" s="2">
        <v>-421.664153608802</v>
      </c>
      <c r="X274" s="2">
        <v>753.95635050335795</v>
      </c>
    </row>
    <row r="275" spans="19:24" x14ac:dyDescent="0.3">
      <c r="S275" s="2">
        <v>-7.1999999999999602</v>
      </c>
      <c r="T275" s="2">
        <v>3610.1909050268</v>
      </c>
      <c r="U275" s="9">
        <v>3.4740005351891699E-4</v>
      </c>
      <c r="V275" s="2">
        <v>152.65323201752699</v>
      </c>
      <c r="W275" s="2">
        <v>-384.038035867171</v>
      </c>
      <c r="X275" s="2">
        <v>748.70602329398503</v>
      </c>
    </row>
    <row r="276" spans="19:24" x14ac:dyDescent="0.3">
      <c r="S276" s="2">
        <v>-7.24999999999996</v>
      </c>
      <c r="T276" s="2">
        <v>3657.8807954139202</v>
      </c>
      <c r="U276" s="9">
        <v>5.62999168984187E-4</v>
      </c>
      <c r="V276" s="2">
        <v>248.81710431389399</v>
      </c>
      <c r="W276" s="2">
        <v>-346.793551279403</v>
      </c>
      <c r="X276" s="2">
        <v>738.66926300087698</v>
      </c>
    </row>
    <row r="277" spans="19:24" x14ac:dyDescent="0.3">
      <c r="S277" s="2">
        <v>-7.2999999999999599</v>
      </c>
      <c r="T277" s="2">
        <v>3705.8829184514302</v>
      </c>
      <c r="U277" s="9">
        <v>7.78205970708318E-4</v>
      </c>
      <c r="V277" s="2">
        <v>345.71501661290199</v>
      </c>
      <c r="W277" s="2">
        <v>-310.17110956708399</v>
      </c>
      <c r="X277" s="2">
        <v>723.80595811770002</v>
      </c>
    </row>
    <row r="278" spans="19:24" x14ac:dyDescent="0.3">
      <c r="S278" s="2">
        <v>-7.3499999999999597</v>
      </c>
      <c r="T278" s="2">
        <v>3754.1972741393502</v>
      </c>
      <c r="U278" s="9">
        <v>9.9306188820193707E-4</v>
      </c>
      <c r="V278" s="2">
        <v>443.21793839423498</v>
      </c>
      <c r="W278" s="2">
        <v>-274.41295546763303</v>
      </c>
      <c r="X278" s="2">
        <v>704.08263474058197</v>
      </c>
    </row>
    <row r="279" spans="19:24" x14ac:dyDescent="0.3">
      <c r="S279" s="2">
        <v>-7.3999999999999604</v>
      </c>
      <c r="T279" s="2">
        <v>3802.82386247767</v>
      </c>
      <c r="U279" s="9">
        <v>1.2076073732414901E-3</v>
      </c>
      <c r="V279" s="2">
        <v>541.20436012385699</v>
      </c>
      <c r="W279" s="2">
        <v>-239.76284609302499</v>
      </c>
      <c r="X279" s="2">
        <v>679.47208368762495</v>
      </c>
    </row>
    <row r="280" spans="19:24" x14ac:dyDescent="0.3">
      <c r="S280" s="2">
        <v>-7.4499999999999602</v>
      </c>
      <c r="T280" s="2">
        <v>3851.7626834663802</v>
      </c>
      <c r="U280" s="9">
        <v>1.42188162411654E-3</v>
      </c>
      <c r="V280" s="2">
        <v>639.56031916191705</v>
      </c>
      <c r="W280" s="2">
        <v>-206.46574709887099</v>
      </c>
      <c r="X280" s="2">
        <v>649.95298372898606</v>
      </c>
    </row>
    <row r="281" spans="19:24" x14ac:dyDescent="0.3">
      <c r="S281" s="2">
        <v>-7.49999999999996</v>
      </c>
      <c r="T281" s="2">
        <v>3901.0137371054998</v>
      </c>
      <c r="U281" s="9">
        <v>1.63592230850986E-3</v>
      </c>
      <c r="V281" s="2">
        <v>738.17933553228704</v>
      </c>
      <c r="W281" s="2">
        <v>-174.767547720127</v>
      </c>
      <c r="X281" s="2">
        <v>615.50952575332201</v>
      </c>
    </row>
    <row r="282" spans="19:24" x14ac:dyDescent="0.3">
      <c r="S282" s="2">
        <v>-7.5499999999999599</v>
      </c>
      <c r="T282" s="2">
        <v>3950.5770233950202</v>
      </c>
      <c r="U282" s="9">
        <v>1.8497652853327201E-3</v>
      </c>
      <c r="V282" s="2">
        <v>836.962271585434</v>
      </c>
      <c r="W282" s="2">
        <v>-144.91479452353801</v>
      </c>
      <c r="X282" s="2">
        <v>576.13104202622299</v>
      </c>
    </row>
    <row r="283" spans="19:24" x14ac:dyDescent="0.3">
      <c r="S283" s="2">
        <v>-7.5999999999999597</v>
      </c>
      <c r="T283" s="2">
        <v>4000.4525423349301</v>
      </c>
      <c r="U283" s="9">
        <v>2.0634443258165701E-3</v>
      </c>
      <c r="V283" s="2">
        <v>935.81712900008802</v>
      </c>
      <c r="W283" s="2">
        <v>-117.15444351750401</v>
      </c>
      <c r="X283" s="2">
        <v>531.81164411738803</v>
      </c>
    </row>
    <row r="284" spans="19:24" x14ac:dyDescent="0.3">
      <c r="S284" s="2">
        <v>-7.6499999999999604</v>
      </c>
      <c r="T284" s="2">
        <v>4050.6402939252498</v>
      </c>
      <c r="U284" s="9">
        <v>2.2769908341415701E-3</v>
      </c>
      <c r="V284" s="2">
        <v>1034.65879572887</v>
      </c>
      <c r="W284" s="2">
        <v>-91.733630111800096</v>
      </c>
      <c r="X284" s="2">
        <v>482.54987209861599</v>
      </c>
    </row>
    <row r="285" spans="19:24" x14ac:dyDescent="0.3">
      <c r="S285" s="2">
        <v>-7.6999999999999602</v>
      </c>
      <c r="T285" s="2">
        <v>4101.1402781659699</v>
      </c>
      <c r="U285" s="9">
        <v>2.4904335678621E-3</v>
      </c>
      <c r="V285" s="2">
        <v>1133.4087544722299</v>
      </c>
      <c r="W285" s="2">
        <v>-68.899456307643206</v>
      </c>
      <c r="X285" s="2">
        <v>428.34835741819302</v>
      </c>
    </row>
    <row r="286" spans="19:24" x14ac:dyDescent="0.3">
      <c r="S286" s="2">
        <v>-7.74999999999996</v>
      </c>
      <c r="T286" s="2">
        <v>4151.9524950570803</v>
      </c>
      <c r="U286" s="9">
        <v>2.7037983583701099E-3</v>
      </c>
      <c r="V286" s="2">
        <v>1231.99476312863</v>
      </c>
      <c r="W286" s="2">
        <v>-48.898794369980699</v>
      </c>
      <c r="X286" s="2">
        <v>369.21350110587599</v>
      </c>
    </row>
    <row r="287" spans="19:24" x14ac:dyDescent="0.3">
      <c r="S287" s="2">
        <v>-7.7999999999999599</v>
      </c>
      <c r="T287" s="2">
        <v>4203.0769445985998</v>
      </c>
      <c r="U287" s="9">
        <v>2.91710783161837E-3</v>
      </c>
      <c r="V287" s="2">
        <v>1330.3505164726701</v>
      </c>
      <c r="W287" s="2">
        <v>-31.978106197055499</v>
      </c>
      <c r="X287" s="2">
        <v>305.15516833589101</v>
      </c>
    </row>
    <row r="288" spans="19:24" x14ac:dyDescent="0.3">
      <c r="S288" s="2">
        <v>-7.8499999999999597</v>
      </c>
      <c r="T288" s="2">
        <v>4254.51362679052</v>
      </c>
      <c r="U288" s="9">
        <v>3.1303811293079201E-3</v>
      </c>
      <c r="V288" s="2">
        <v>1428.4152971025201</v>
      </c>
      <c r="W288" s="2">
        <v>-18.3832775363915</v>
      </c>
      <c r="X288" s="2">
        <v>236.18640019707601</v>
      </c>
    </row>
    <row r="289" spans="19:24" x14ac:dyDescent="0.3">
      <c r="S289" s="2">
        <v>-7.8999999999999497</v>
      </c>
      <c r="T289" s="2">
        <v>4306.2625416328301</v>
      </c>
      <c r="U289" s="9">
        <v>3.3436336307272902E-3</v>
      </c>
      <c r="V289" s="2">
        <v>1526.13362251031</v>
      </c>
      <c r="W289" s="2">
        <v>-8.3594661773479295</v>
      </c>
      <c r="X289" s="2">
        <v>162.32314308612601</v>
      </c>
    </row>
    <row r="290" spans="19:24" x14ac:dyDescent="0.3">
      <c r="S290" s="2">
        <v>-7.9499999999999602</v>
      </c>
      <c r="T290" s="2">
        <v>4358.3236891255501</v>
      </c>
      <c r="U290" s="9">
        <v>3.5568766754153201E-3</v>
      </c>
      <c r="V290" s="2">
        <v>1623.45489399244</v>
      </c>
      <c r="W290" s="2">
        <v>-2.1509632277789099</v>
      </c>
      <c r="X290" s="2">
        <v>83.594661773479302</v>
      </c>
    </row>
    <row r="291" spans="19:24" x14ac:dyDescent="0.3">
      <c r="S291" s="2">
        <v>-7.99999999999996</v>
      </c>
      <c r="T291" s="2">
        <v>4410.69706926867</v>
      </c>
      <c r="U291" s="9">
        <v>3.77011728680425E-3</v>
      </c>
      <c r="V291" s="2">
        <v>1720.33305205132</v>
      </c>
      <c r="W291" s="2">
        <v>0</v>
      </c>
      <c r="X291" s="2">
        <v>2.4438673376771298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9EC5-BE61-43AA-984F-B7FE72B0D5B4}">
  <dimension ref="B2:C5"/>
  <sheetViews>
    <sheetView workbookViewId="0">
      <selection activeCell="B2" sqref="B2:C5"/>
    </sheetView>
  </sheetViews>
  <sheetFormatPr defaultRowHeight="15.05" x14ac:dyDescent="0.3"/>
  <sheetData>
    <row r="2" spans="2:3" x14ac:dyDescent="0.3">
      <c r="B2">
        <v>25</v>
      </c>
      <c r="C2">
        <v>5.4</v>
      </c>
    </row>
    <row r="3" spans="2:3" x14ac:dyDescent="0.3">
      <c r="B3">
        <v>30</v>
      </c>
      <c r="C3">
        <v>8.6999999999999993</v>
      </c>
    </row>
    <row r="4" spans="2:3" x14ac:dyDescent="0.3">
      <c r="B4">
        <v>35</v>
      </c>
      <c r="C4">
        <v>22</v>
      </c>
    </row>
    <row r="5" spans="2:3" x14ac:dyDescent="0.3">
      <c r="B5">
        <v>40</v>
      </c>
      <c r="C5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F65B-4F20-4870-8864-24356D541ED7}">
  <dimension ref="A1:YZ66"/>
  <sheetViews>
    <sheetView zoomScale="55" zoomScaleNormal="55" workbookViewId="0">
      <selection activeCell="F60" sqref="F60"/>
    </sheetView>
  </sheetViews>
  <sheetFormatPr defaultRowHeight="15.05" x14ac:dyDescent="0.3"/>
  <sheetData>
    <row r="1" spans="1:676" x14ac:dyDescent="0.3">
      <c r="A1" t="s">
        <v>42</v>
      </c>
      <c r="B1">
        <v>5</v>
      </c>
      <c r="C1">
        <v>2.25</v>
      </c>
      <c r="D1">
        <v>0</v>
      </c>
      <c r="E1">
        <v>11.22</v>
      </c>
      <c r="F1">
        <v>19.36</v>
      </c>
      <c r="G1">
        <v>24</v>
      </c>
      <c r="H1">
        <v>26.29</v>
      </c>
      <c r="I1">
        <v>27.34</v>
      </c>
      <c r="J1">
        <v>27.8</v>
      </c>
      <c r="K1">
        <v>28</v>
      </c>
      <c r="L1">
        <v>28.09</v>
      </c>
      <c r="M1">
        <v>28.13</v>
      </c>
      <c r="N1">
        <v>28.15</v>
      </c>
      <c r="O1">
        <v>28.15</v>
      </c>
      <c r="P1">
        <v>28.15</v>
      </c>
      <c r="Q1">
        <v>28.15</v>
      </c>
      <c r="R1">
        <v>28.15</v>
      </c>
      <c r="S1" t="s">
        <v>43</v>
      </c>
    </row>
    <row r="2" spans="1:676" x14ac:dyDescent="0.3">
      <c r="D2">
        <v>0</v>
      </c>
      <c r="E2">
        <v>2.317E-3</v>
      </c>
      <c r="F2">
        <v>4.6350000000000002E-3</v>
      </c>
      <c r="G2">
        <v>6.9519999999999998E-3</v>
      </c>
      <c r="H2">
        <v>9.2689999999999995E-3</v>
      </c>
      <c r="I2">
        <v>1.159E-2</v>
      </c>
      <c r="J2">
        <v>1.3899999999999999E-2</v>
      </c>
      <c r="K2">
        <v>1.6219999999999998E-2</v>
      </c>
      <c r="L2">
        <v>1.8540000000000001E-2</v>
      </c>
      <c r="M2">
        <v>2.086E-2</v>
      </c>
      <c r="N2">
        <v>914</v>
      </c>
      <c r="O2">
        <v>915</v>
      </c>
      <c r="P2">
        <v>916</v>
      </c>
      <c r="Q2">
        <v>917</v>
      </c>
      <c r="R2">
        <v>918</v>
      </c>
      <c r="S2" t="s">
        <v>44</v>
      </c>
    </row>
    <row r="3" spans="1:676" x14ac:dyDescent="0.3">
      <c r="A3" t="s">
        <v>52</v>
      </c>
      <c r="B3" s="2">
        <v>6</v>
      </c>
      <c r="C3" s="2">
        <v>2.75</v>
      </c>
      <c r="D3" s="2">
        <v>0</v>
      </c>
      <c r="E3" s="2">
        <v>64.89</v>
      </c>
      <c r="F3" s="2">
        <v>93.45</v>
      </c>
      <c r="G3" s="2">
        <v>129.80000000000001</v>
      </c>
      <c r="H3" s="2">
        <v>129.80000000000001</v>
      </c>
      <c r="I3" s="2">
        <v>129.80000000000001</v>
      </c>
      <c r="J3" s="2">
        <v>129.80000000000001</v>
      </c>
      <c r="K3" s="2">
        <v>129.80000000000001</v>
      </c>
      <c r="L3" s="8">
        <v>129.80000000000001</v>
      </c>
      <c r="M3" s="8">
        <v>129.80000000000001</v>
      </c>
      <c r="N3" s="8">
        <v>129.80000000000001</v>
      </c>
      <c r="O3" s="8">
        <v>129.80000000000001</v>
      </c>
      <c r="P3" s="8">
        <v>129.80000000000001</v>
      </c>
      <c r="Q3">
        <v>129.80000000000001</v>
      </c>
      <c r="R3">
        <v>129.80000000000001</v>
      </c>
      <c r="S3" t="s">
        <v>43</v>
      </c>
    </row>
    <row r="4" spans="1:676" x14ac:dyDescent="0.3">
      <c r="B4" s="2"/>
      <c r="C4" s="2"/>
      <c r="D4" s="2">
        <v>0</v>
      </c>
      <c r="E4" s="2">
        <v>2.2849999999999999E-2</v>
      </c>
      <c r="F4" s="2">
        <v>6.855E-2</v>
      </c>
      <c r="G4" s="2">
        <v>0.18279999999999999</v>
      </c>
      <c r="H4" s="2">
        <v>914</v>
      </c>
      <c r="I4" s="2">
        <v>915</v>
      </c>
      <c r="J4" s="2">
        <v>916</v>
      </c>
      <c r="K4" s="2">
        <v>917</v>
      </c>
      <c r="L4" s="8">
        <v>918</v>
      </c>
      <c r="M4" s="8">
        <v>919</v>
      </c>
      <c r="N4" s="8">
        <v>920</v>
      </c>
      <c r="O4" s="8">
        <v>921</v>
      </c>
      <c r="P4" s="8">
        <v>922</v>
      </c>
      <c r="Q4">
        <v>923</v>
      </c>
      <c r="R4">
        <v>924</v>
      </c>
      <c r="S4" t="s">
        <v>44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</row>
    <row r="5" spans="1:676" x14ac:dyDescent="0.3">
      <c r="A5" t="s">
        <v>45</v>
      </c>
      <c r="B5">
        <v>7</v>
      </c>
      <c r="C5">
        <v>3.25</v>
      </c>
      <c r="D5">
        <v>0</v>
      </c>
      <c r="E5">
        <v>80.400000000000006</v>
      </c>
      <c r="F5">
        <v>115.8</v>
      </c>
      <c r="G5">
        <v>160.80000000000001</v>
      </c>
      <c r="H5">
        <v>160.80000000000001</v>
      </c>
      <c r="I5">
        <v>160.80000000000001</v>
      </c>
      <c r="J5">
        <v>160.80000000000001</v>
      </c>
      <c r="K5">
        <v>160.80000000000001</v>
      </c>
      <c r="L5">
        <v>160.80000000000001</v>
      </c>
      <c r="M5">
        <v>160.80000000000001</v>
      </c>
      <c r="N5">
        <v>160.80000000000001</v>
      </c>
      <c r="O5">
        <v>160.80000000000001</v>
      </c>
      <c r="P5">
        <v>160.80000000000001</v>
      </c>
      <c r="Q5">
        <v>160.80000000000001</v>
      </c>
      <c r="R5">
        <v>160.80000000000001</v>
      </c>
      <c r="S5" t="s">
        <v>43</v>
      </c>
    </row>
    <row r="6" spans="1:676" x14ac:dyDescent="0.3">
      <c r="D6">
        <v>0</v>
      </c>
      <c r="E6" s="2">
        <v>2.2849999999999999E-2</v>
      </c>
      <c r="F6" s="2">
        <v>6.855E-2</v>
      </c>
      <c r="G6" s="2">
        <v>0.18279999999999999</v>
      </c>
      <c r="H6" s="2">
        <v>914</v>
      </c>
      <c r="I6" s="2">
        <v>915</v>
      </c>
      <c r="J6" s="2">
        <v>916</v>
      </c>
      <c r="K6" s="2">
        <v>917</v>
      </c>
      <c r="L6" s="2">
        <v>918</v>
      </c>
      <c r="M6" s="2">
        <v>919</v>
      </c>
      <c r="N6" s="2">
        <v>920</v>
      </c>
      <c r="O6" s="2">
        <v>921</v>
      </c>
      <c r="P6" s="2">
        <v>922</v>
      </c>
      <c r="Q6" s="1">
        <v>923</v>
      </c>
      <c r="R6" s="1">
        <v>918</v>
      </c>
      <c r="S6" s="1" t="s">
        <v>44</v>
      </c>
      <c r="T6" s="1"/>
      <c r="U6" s="1"/>
      <c r="V6" s="1"/>
      <c r="W6" s="1"/>
      <c r="X6" s="1"/>
      <c r="Y6" s="1"/>
    </row>
    <row r="7" spans="1:676" x14ac:dyDescent="0.3">
      <c r="A7" t="s">
        <v>46</v>
      </c>
      <c r="B7">
        <v>9</v>
      </c>
      <c r="C7">
        <v>4.25</v>
      </c>
      <c r="D7">
        <v>0</v>
      </c>
      <c r="E7" s="2">
        <v>113.9</v>
      </c>
      <c r="F7" s="2">
        <v>164</v>
      </c>
      <c r="G7" s="2">
        <v>227.8</v>
      </c>
      <c r="H7" s="2">
        <v>227.8</v>
      </c>
      <c r="I7" s="2">
        <v>227.8</v>
      </c>
      <c r="J7" s="2">
        <v>227.8</v>
      </c>
      <c r="K7" s="2">
        <v>227.8</v>
      </c>
      <c r="L7" s="2">
        <v>227.8</v>
      </c>
      <c r="M7" s="2">
        <v>227.8</v>
      </c>
      <c r="N7" s="2">
        <v>227.8</v>
      </c>
      <c r="O7" s="2">
        <v>227.8</v>
      </c>
      <c r="P7" s="2">
        <v>227.8</v>
      </c>
      <c r="Q7">
        <v>227.8</v>
      </c>
      <c r="R7">
        <v>227.8</v>
      </c>
      <c r="S7" t="s">
        <v>43</v>
      </c>
    </row>
    <row r="8" spans="1:676" x14ac:dyDescent="0.3">
      <c r="D8">
        <v>0</v>
      </c>
      <c r="E8" s="2">
        <v>2.2849999999999999E-2</v>
      </c>
      <c r="F8" s="2">
        <v>6.855E-2</v>
      </c>
      <c r="G8" s="2">
        <v>0.18279999999999999</v>
      </c>
      <c r="H8" s="2">
        <v>914</v>
      </c>
      <c r="I8" s="2">
        <v>915</v>
      </c>
      <c r="J8" s="2">
        <v>916</v>
      </c>
      <c r="K8" s="2">
        <v>917</v>
      </c>
      <c r="L8" s="2">
        <v>918</v>
      </c>
      <c r="M8" s="2">
        <v>919</v>
      </c>
      <c r="N8" s="2">
        <v>920</v>
      </c>
      <c r="O8" s="2">
        <v>921</v>
      </c>
      <c r="P8" s="2">
        <v>922</v>
      </c>
      <c r="Q8">
        <v>923</v>
      </c>
      <c r="R8">
        <v>924</v>
      </c>
      <c r="S8" t="s">
        <v>44</v>
      </c>
    </row>
    <row r="9" spans="1:676" x14ac:dyDescent="0.3">
      <c r="A9" t="s">
        <v>47</v>
      </c>
      <c r="B9">
        <v>11</v>
      </c>
      <c r="C9">
        <v>5.25</v>
      </c>
      <c r="D9">
        <v>0</v>
      </c>
      <c r="E9">
        <v>145.6</v>
      </c>
      <c r="F9">
        <v>209.6</v>
      </c>
      <c r="G9">
        <v>291.2</v>
      </c>
      <c r="H9">
        <v>291.2</v>
      </c>
      <c r="I9">
        <v>291.2</v>
      </c>
      <c r="J9">
        <v>291.2</v>
      </c>
      <c r="K9">
        <v>291.2</v>
      </c>
      <c r="L9">
        <v>291.2</v>
      </c>
      <c r="M9">
        <v>291.2</v>
      </c>
      <c r="N9">
        <v>291.2</v>
      </c>
      <c r="O9">
        <v>291.2</v>
      </c>
      <c r="P9">
        <v>291.2</v>
      </c>
      <c r="Q9">
        <v>291.2</v>
      </c>
      <c r="R9">
        <v>291.2</v>
      </c>
      <c r="S9" t="s">
        <v>43</v>
      </c>
    </row>
    <row r="10" spans="1:676" x14ac:dyDescent="0.3">
      <c r="D10">
        <v>0</v>
      </c>
      <c r="E10">
        <v>2.2849999999999999E-2</v>
      </c>
      <c r="F10">
        <v>6.855E-2</v>
      </c>
      <c r="G10">
        <v>0.18279999999999999</v>
      </c>
      <c r="H10">
        <v>914</v>
      </c>
      <c r="I10">
        <v>915</v>
      </c>
      <c r="J10">
        <v>916</v>
      </c>
      <c r="K10">
        <v>917</v>
      </c>
      <c r="L10">
        <v>918</v>
      </c>
      <c r="M10">
        <v>919</v>
      </c>
      <c r="N10">
        <v>920</v>
      </c>
      <c r="O10">
        <v>921</v>
      </c>
      <c r="P10">
        <v>922</v>
      </c>
      <c r="Q10">
        <v>923</v>
      </c>
      <c r="R10">
        <v>924</v>
      </c>
      <c r="S10" t="s">
        <v>44</v>
      </c>
    </row>
    <row r="11" spans="1:676" x14ac:dyDescent="0.3">
      <c r="A11" t="s">
        <v>84</v>
      </c>
      <c r="B11">
        <v>13</v>
      </c>
      <c r="C11">
        <v>6.25</v>
      </c>
      <c r="D11">
        <v>0</v>
      </c>
      <c r="E11">
        <v>163.80000000000001</v>
      </c>
      <c r="F11">
        <v>235.8</v>
      </c>
      <c r="G11">
        <v>327.5</v>
      </c>
      <c r="H11">
        <v>327.5</v>
      </c>
      <c r="I11">
        <v>327.5</v>
      </c>
      <c r="J11">
        <v>327.5</v>
      </c>
      <c r="K11">
        <v>327.5</v>
      </c>
      <c r="L11">
        <v>327.5</v>
      </c>
      <c r="M11">
        <v>327.5</v>
      </c>
      <c r="N11">
        <v>327.5</v>
      </c>
      <c r="O11">
        <v>327.5</v>
      </c>
      <c r="P11">
        <v>327.5</v>
      </c>
      <c r="Q11">
        <v>327.5</v>
      </c>
      <c r="R11">
        <v>327.5</v>
      </c>
      <c r="S11" t="s">
        <v>43</v>
      </c>
    </row>
    <row r="12" spans="1:676" x14ac:dyDescent="0.3">
      <c r="D12">
        <v>0</v>
      </c>
      <c r="E12">
        <v>2.2849999999999999E-2</v>
      </c>
      <c r="F12">
        <v>6.855E-2</v>
      </c>
      <c r="G12">
        <v>0.18279999999999999</v>
      </c>
      <c r="H12">
        <v>914</v>
      </c>
      <c r="I12">
        <v>915</v>
      </c>
      <c r="J12">
        <v>916</v>
      </c>
      <c r="K12">
        <v>917</v>
      </c>
      <c r="L12">
        <v>918</v>
      </c>
      <c r="M12">
        <v>919</v>
      </c>
      <c r="N12">
        <v>920</v>
      </c>
      <c r="O12">
        <v>921</v>
      </c>
      <c r="P12">
        <v>922</v>
      </c>
      <c r="Q12">
        <v>923</v>
      </c>
      <c r="R12">
        <v>924</v>
      </c>
      <c r="S12" t="s">
        <v>44</v>
      </c>
    </row>
    <row r="13" spans="1:676" x14ac:dyDescent="0.3">
      <c r="A13" t="s">
        <v>85</v>
      </c>
      <c r="B13">
        <v>15</v>
      </c>
      <c r="C13">
        <v>7.25</v>
      </c>
      <c r="D13">
        <v>0</v>
      </c>
      <c r="E13">
        <v>182.4</v>
      </c>
      <c r="F13">
        <v>262.60000000000002</v>
      </c>
      <c r="G13">
        <v>364.8</v>
      </c>
      <c r="H13">
        <v>364.8</v>
      </c>
      <c r="I13">
        <v>364.8</v>
      </c>
      <c r="J13">
        <v>364.8</v>
      </c>
      <c r="K13">
        <v>364.8</v>
      </c>
      <c r="L13">
        <v>364.8</v>
      </c>
      <c r="M13">
        <v>364.8</v>
      </c>
      <c r="N13">
        <v>364.8</v>
      </c>
      <c r="O13">
        <v>364.8</v>
      </c>
      <c r="P13">
        <v>364.8</v>
      </c>
      <c r="Q13">
        <v>364.8</v>
      </c>
      <c r="R13">
        <v>364.8</v>
      </c>
      <c r="S13" t="s">
        <v>43</v>
      </c>
    </row>
    <row r="14" spans="1:676" x14ac:dyDescent="0.3">
      <c r="D14">
        <v>0</v>
      </c>
      <c r="E14">
        <v>2.2849999999999999E-2</v>
      </c>
      <c r="F14">
        <v>6.855E-2</v>
      </c>
      <c r="G14">
        <v>0.18279999999999999</v>
      </c>
      <c r="H14">
        <v>914</v>
      </c>
      <c r="I14">
        <v>915</v>
      </c>
      <c r="J14">
        <v>916</v>
      </c>
      <c r="K14">
        <v>917</v>
      </c>
      <c r="L14">
        <v>918</v>
      </c>
      <c r="M14">
        <v>919</v>
      </c>
      <c r="N14">
        <v>920</v>
      </c>
      <c r="O14">
        <v>921</v>
      </c>
      <c r="P14">
        <v>922</v>
      </c>
      <c r="Q14">
        <v>923</v>
      </c>
      <c r="R14">
        <v>924</v>
      </c>
      <c r="S14" t="s">
        <v>44</v>
      </c>
    </row>
    <row r="15" spans="1:676" x14ac:dyDescent="0.3">
      <c r="A15" t="s">
        <v>48</v>
      </c>
      <c r="B15">
        <v>16</v>
      </c>
      <c r="C15">
        <v>7.75</v>
      </c>
      <c r="D15">
        <v>0</v>
      </c>
      <c r="E15">
        <v>191.9</v>
      </c>
      <c r="F15">
        <v>276.3</v>
      </c>
      <c r="G15">
        <v>383.7</v>
      </c>
      <c r="H15">
        <v>383.7</v>
      </c>
      <c r="I15">
        <v>383.7</v>
      </c>
      <c r="J15">
        <v>383.7</v>
      </c>
      <c r="K15">
        <v>383.7</v>
      </c>
      <c r="L15">
        <v>383.7</v>
      </c>
      <c r="M15">
        <v>383.7</v>
      </c>
      <c r="N15">
        <v>383.7</v>
      </c>
      <c r="O15">
        <v>383.7</v>
      </c>
      <c r="P15">
        <v>383.7</v>
      </c>
      <c r="Q15">
        <v>383.7</v>
      </c>
      <c r="R15">
        <v>383.7</v>
      </c>
      <c r="S15" t="s">
        <v>43</v>
      </c>
    </row>
    <row r="16" spans="1:676" x14ac:dyDescent="0.3">
      <c r="D16">
        <v>0</v>
      </c>
      <c r="E16">
        <v>2.2849999999999999E-2</v>
      </c>
      <c r="F16">
        <v>6.855E-2</v>
      </c>
      <c r="G16">
        <v>0.18279999999999999</v>
      </c>
      <c r="H16">
        <v>914</v>
      </c>
      <c r="I16">
        <v>915</v>
      </c>
      <c r="J16">
        <v>916</v>
      </c>
      <c r="K16">
        <v>917</v>
      </c>
      <c r="L16">
        <v>918</v>
      </c>
      <c r="M16">
        <v>919</v>
      </c>
      <c r="N16">
        <v>920</v>
      </c>
      <c r="O16">
        <v>921</v>
      </c>
      <c r="P16">
        <v>922</v>
      </c>
      <c r="Q16">
        <v>923</v>
      </c>
      <c r="R16">
        <v>924</v>
      </c>
      <c r="S16" t="s">
        <v>44</v>
      </c>
    </row>
    <row r="17" spans="1:33" x14ac:dyDescent="0.3">
      <c r="A17" t="s">
        <v>49</v>
      </c>
      <c r="B17">
        <v>17</v>
      </c>
      <c r="C17">
        <v>8.25</v>
      </c>
      <c r="D17">
        <v>0</v>
      </c>
      <c r="E17">
        <v>1635</v>
      </c>
      <c r="F17">
        <v>2823</v>
      </c>
      <c r="G17">
        <v>3499</v>
      </c>
      <c r="H17">
        <v>3833</v>
      </c>
      <c r="I17">
        <v>3985</v>
      </c>
      <c r="J17">
        <v>4053</v>
      </c>
      <c r="K17">
        <v>4082</v>
      </c>
      <c r="L17">
        <v>4095</v>
      </c>
      <c r="M17">
        <v>4100</v>
      </c>
      <c r="N17">
        <v>4105</v>
      </c>
      <c r="O17">
        <v>4105</v>
      </c>
      <c r="P17">
        <v>4105</v>
      </c>
      <c r="Q17">
        <v>4105</v>
      </c>
      <c r="R17">
        <v>4105</v>
      </c>
      <c r="S17" t="s">
        <v>43</v>
      </c>
    </row>
    <row r="18" spans="1:33" x14ac:dyDescent="0.3">
      <c r="D18">
        <v>0</v>
      </c>
      <c r="E18">
        <v>4.2379999999999996E-3</v>
      </c>
      <c r="F18">
        <v>8.4759999999999992E-3</v>
      </c>
      <c r="G18">
        <v>1.2710000000000001E-2</v>
      </c>
      <c r="H18">
        <v>1.695E-2</v>
      </c>
      <c r="I18">
        <v>2.1190000000000001E-2</v>
      </c>
      <c r="J18">
        <v>2.5430000000000001E-2</v>
      </c>
      <c r="K18">
        <v>2.9669999999999998E-2</v>
      </c>
      <c r="L18">
        <v>3.3910000000000003E-2</v>
      </c>
      <c r="M18">
        <v>3.814E-2</v>
      </c>
      <c r="N18">
        <v>914</v>
      </c>
      <c r="O18">
        <v>915</v>
      </c>
      <c r="P18">
        <v>916</v>
      </c>
      <c r="Q18">
        <v>917</v>
      </c>
      <c r="R18">
        <v>918</v>
      </c>
      <c r="S18" t="s">
        <v>44</v>
      </c>
    </row>
    <row r="19" spans="1:33" x14ac:dyDescent="0.3">
      <c r="A19" t="s">
        <v>50</v>
      </c>
      <c r="B19">
        <v>19</v>
      </c>
      <c r="C19">
        <v>9.25</v>
      </c>
      <c r="D19">
        <v>0</v>
      </c>
      <c r="E19">
        <v>2169</v>
      </c>
      <c r="F19">
        <v>3744</v>
      </c>
      <c r="G19">
        <v>4641</v>
      </c>
      <c r="H19">
        <v>5083</v>
      </c>
      <c r="I19">
        <v>5286</v>
      </c>
      <c r="J19">
        <v>5375</v>
      </c>
      <c r="K19">
        <v>5414</v>
      </c>
      <c r="L19">
        <v>5431</v>
      </c>
      <c r="M19">
        <v>5438</v>
      </c>
      <c r="N19">
        <v>5444</v>
      </c>
      <c r="O19">
        <v>5444</v>
      </c>
      <c r="P19">
        <v>5444</v>
      </c>
      <c r="Q19">
        <v>5444</v>
      </c>
      <c r="R19">
        <v>5444</v>
      </c>
      <c r="S19" t="s">
        <v>43</v>
      </c>
    </row>
    <row r="20" spans="1:33" x14ac:dyDescent="0.3">
      <c r="D20">
        <v>0</v>
      </c>
      <c r="E20">
        <v>4.8450000000000003E-3</v>
      </c>
      <c r="F20">
        <v>9.691E-3</v>
      </c>
      <c r="G20">
        <v>1.4540000000000001E-2</v>
      </c>
      <c r="H20">
        <v>1.9380000000000001E-2</v>
      </c>
      <c r="I20">
        <v>2.4230000000000002E-2</v>
      </c>
      <c r="J20">
        <v>2.9069999999999999E-2</v>
      </c>
      <c r="K20">
        <v>3.3919999999999999E-2</v>
      </c>
      <c r="L20">
        <v>3.8760000000000003E-2</v>
      </c>
      <c r="M20">
        <v>4.3610000000000003E-2</v>
      </c>
      <c r="N20">
        <v>914</v>
      </c>
      <c r="O20">
        <v>915</v>
      </c>
      <c r="P20">
        <v>916</v>
      </c>
      <c r="Q20">
        <v>917</v>
      </c>
      <c r="R20">
        <v>918</v>
      </c>
      <c r="S20" t="s">
        <v>44</v>
      </c>
    </row>
    <row r="21" spans="1:33" x14ac:dyDescent="0.3">
      <c r="A21" t="s">
        <v>51</v>
      </c>
      <c r="B21">
        <v>20</v>
      </c>
      <c r="C21">
        <v>9.75</v>
      </c>
      <c r="D21">
        <v>0</v>
      </c>
      <c r="E21">
        <v>2464</v>
      </c>
      <c r="F21">
        <v>4253</v>
      </c>
      <c r="G21">
        <v>5272</v>
      </c>
      <c r="H21">
        <v>5774</v>
      </c>
      <c r="I21">
        <v>6004</v>
      </c>
      <c r="J21">
        <v>6106</v>
      </c>
      <c r="K21">
        <v>6150</v>
      </c>
      <c r="L21">
        <v>6169</v>
      </c>
      <c r="M21">
        <v>6177</v>
      </c>
      <c r="N21">
        <v>6184</v>
      </c>
      <c r="O21">
        <v>6184</v>
      </c>
      <c r="P21">
        <v>6184</v>
      </c>
      <c r="Q21">
        <v>6184</v>
      </c>
      <c r="R21">
        <v>6184</v>
      </c>
      <c r="S21" t="s">
        <v>43</v>
      </c>
    </row>
    <row r="22" spans="1:33" x14ac:dyDescent="0.3">
      <c r="D22">
        <v>0</v>
      </c>
      <c r="E22">
        <v>5.1489999999999999E-3</v>
      </c>
      <c r="F22">
        <v>1.03E-2</v>
      </c>
      <c r="G22">
        <v>1.545E-2</v>
      </c>
      <c r="H22">
        <v>2.06E-2</v>
      </c>
      <c r="I22">
        <v>2.5749999999999999E-2</v>
      </c>
      <c r="J22">
        <v>3.0890000000000001E-2</v>
      </c>
      <c r="K22">
        <v>3.6040000000000003E-2</v>
      </c>
      <c r="L22">
        <v>4.1189999999999997E-2</v>
      </c>
      <c r="M22">
        <v>4.6339999999999999E-2</v>
      </c>
      <c r="N22">
        <v>914</v>
      </c>
      <c r="O22">
        <v>915</v>
      </c>
      <c r="P22">
        <v>916</v>
      </c>
      <c r="Q22">
        <v>917</v>
      </c>
      <c r="R22">
        <v>918</v>
      </c>
      <c r="S22" t="s">
        <v>44</v>
      </c>
    </row>
    <row r="24" spans="1:33" x14ac:dyDescent="0.3">
      <c r="A24">
        <v>2.25</v>
      </c>
      <c r="D24">
        <v>2.75</v>
      </c>
      <c r="G24">
        <v>3.25</v>
      </c>
      <c r="J24">
        <v>4.25</v>
      </c>
      <c r="M24">
        <v>5.25</v>
      </c>
      <c r="P24">
        <v>6.25</v>
      </c>
      <c r="S24">
        <v>7.25</v>
      </c>
      <c r="V24">
        <v>7.75</v>
      </c>
      <c r="Y24">
        <v>8.25</v>
      </c>
      <c r="AB24">
        <v>9.25</v>
      </c>
      <c r="AE24">
        <v>9.75</v>
      </c>
    </row>
    <row r="25" spans="1:33" x14ac:dyDescent="0.3">
      <c r="A25" t="s">
        <v>39</v>
      </c>
      <c r="B25" t="s">
        <v>40</v>
      </c>
      <c r="C25" t="s">
        <v>41</v>
      </c>
      <c r="D25" t="s">
        <v>39</v>
      </c>
      <c r="E25" t="s">
        <v>40</v>
      </c>
      <c r="F25" t="s">
        <v>41</v>
      </c>
      <c r="G25" t="s">
        <v>39</v>
      </c>
      <c r="H25" t="s">
        <v>40</v>
      </c>
      <c r="I25" t="s">
        <v>41</v>
      </c>
      <c r="J25" t="s">
        <v>39</v>
      </c>
      <c r="K25" t="s">
        <v>40</v>
      </c>
      <c r="L25" t="s">
        <v>41</v>
      </c>
      <c r="M25" s="1">
        <v>1E-10</v>
      </c>
      <c r="N25" s="1">
        <v>5.8218415745690602E-7</v>
      </c>
      <c r="O25" t="s">
        <v>41</v>
      </c>
      <c r="P25" s="1">
        <v>1E-10</v>
      </c>
      <c r="Q25" s="1">
        <v>5.8218415745690602E-7</v>
      </c>
      <c r="R25" t="s">
        <v>41</v>
      </c>
      <c r="S25" s="1">
        <v>1E-10</v>
      </c>
      <c r="T25" s="1">
        <v>5.8218415745690602E-7</v>
      </c>
      <c r="U25" t="s">
        <v>41</v>
      </c>
      <c r="V25" t="s">
        <v>39</v>
      </c>
      <c r="W25" t="s">
        <v>40</v>
      </c>
      <c r="X25" t="s">
        <v>41</v>
      </c>
      <c r="Y25" t="s">
        <v>39</v>
      </c>
      <c r="Z25" t="s">
        <v>40</v>
      </c>
      <c r="AA25" t="s">
        <v>41</v>
      </c>
      <c r="AB25" t="s">
        <v>39</v>
      </c>
      <c r="AC25" t="s">
        <v>40</v>
      </c>
      <c r="AD25" t="s">
        <v>41</v>
      </c>
      <c r="AE25" t="s">
        <v>39</v>
      </c>
      <c r="AF25" t="s">
        <v>40</v>
      </c>
      <c r="AG25" t="s">
        <v>41</v>
      </c>
    </row>
    <row r="26" spans="1:33" x14ac:dyDescent="0.3">
      <c r="A26" s="1">
        <v>1E-10</v>
      </c>
      <c r="B26" s="1">
        <v>5.0894999999999896E-7</v>
      </c>
      <c r="C26" s="2">
        <f>B26/(36*25.4/1000)</f>
        <v>5.5659448818897528E-7</v>
      </c>
      <c r="D26" s="1">
        <v>1E-10</v>
      </c>
      <c r="E26" s="1">
        <v>2.5893891787622901E-7</v>
      </c>
      <c r="F26" s="2">
        <f>E26/(36*25.4/1000)</f>
        <v>2.8317904404661963E-7</v>
      </c>
      <c r="G26" s="1">
        <v>1E-10</v>
      </c>
      <c r="H26" s="1">
        <v>3.2106069632862102E-7</v>
      </c>
      <c r="I26" s="2">
        <f>H26/(36*25.4/1000)</f>
        <v>3.5111624707854444E-7</v>
      </c>
      <c r="J26" s="1">
        <v>1E-10</v>
      </c>
      <c r="K26" s="1">
        <v>4.5518630110995098E-7</v>
      </c>
      <c r="L26" s="2">
        <f>K26/(36*25.4/1000)</f>
        <v>4.9779779211499452E-7</v>
      </c>
      <c r="M26" s="1">
        <v>3.60234962188843E-3</v>
      </c>
      <c r="N26" s="1">
        <v>20.972308794843201</v>
      </c>
      <c r="O26" s="2">
        <f>N26/(36*25.4/1000)</f>
        <v>22.935595794885391</v>
      </c>
      <c r="P26" s="1">
        <v>1E-10</v>
      </c>
      <c r="Q26" s="1">
        <v>6.5486565629965104E-7</v>
      </c>
      <c r="R26" s="2">
        <f>Q26/(36*25.4/1000)</f>
        <v>7.1616979035394904E-7</v>
      </c>
      <c r="S26" s="1">
        <v>1E-10</v>
      </c>
      <c r="T26" s="1">
        <v>7.2937593992222504E-7</v>
      </c>
      <c r="U26" s="2">
        <f>T26/(36*25.4/1000)</f>
        <v>7.9765522738651035E-7</v>
      </c>
      <c r="V26" s="1">
        <v>1E-10</v>
      </c>
      <c r="W26" s="1">
        <v>7.6731687602594797E-7</v>
      </c>
      <c r="X26" s="2">
        <f>W26/(36*25.4/1000)</f>
        <v>8.3914793966092296E-7</v>
      </c>
      <c r="Y26" s="1">
        <v>1E-10</v>
      </c>
      <c r="Z26" s="1">
        <v>3.8171874999999998E-5</v>
      </c>
      <c r="AA26" s="2">
        <f>Z26/(36*25.4/1000)</f>
        <v>4.1745270122484691E-5</v>
      </c>
      <c r="AB26" s="1">
        <v>1E-10</v>
      </c>
      <c r="AC26" s="1">
        <v>4.4279375E-5</v>
      </c>
      <c r="AD26" s="2">
        <f>AC26/(36*25.4/1000)</f>
        <v>4.8424513342082237E-5</v>
      </c>
      <c r="AE26" s="1">
        <v>1E-10</v>
      </c>
      <c r="AF26" s="1">
        <v>4.7333124999999998E-5</v>
      </c>
      <c r="AG26" s="2">
        <f>AF26/(36*25.4/1000)</f>
        <v>5.1764134951881011E-5</v>
      </c>
    </row>
    <row r="27" spans="1:33" x14ac:dyDescent="0.3">
      <c r="A27">
        <v>7.9531545867998201E-4</v>
      </c>
      <c r="B27" s="1">
        <v>4.0147552067898804</v>
      </c>
      <c r="C27" s="2">
        <f t="shared" ref="C27:C45" si="0">B27/(36*25.4/1000)</f>
        <v>4.3905896837159668</v>
      </c>
      <c r="D27">
        <v>6.0546275468125396E-3</v>
      </c>
      <c r="E27" s="1">
        <v>15.677787051152499</v>
      </c>
      <c r="F27" s="2">
        <f t="shared" ref="F27:F45" si="1">E27/(36*25.4/1000)</f>
        <v>17.14543640764709</v>
      </c>
      <c r="G27">
        <v>5.5895556425565197E-3</v>
      </c>
      <c r="H27">
        <v>17.9458662676677</v>
      </c>
      <c r="I27" s="2">
        <f t="shared" ref="I27:I45" si="2">H27/(36*25.4/1000)</f>
        <v>19.625838000511482</v>
      </c>
      <c r="J27">
        <v>4.6097999252994303E-3</v>
      </c>
      <c r="K27">
        <v>20.9831777685398</v>
      </c>
      <c r="L27" s="2">
        <f t="shared" ref="L27:L45" si="3">K27/(36*25.4/1000)</f>
        <v>22.947482249059274</v>
      </c>
      <c r="M27">
        <v>7.5494803990694796E-3</v>
      </c>
      <c r="N27">
        <v>43.951878853696897</v>
      </c>
      <c r="O27" s="2">
        <f t="shared" ref="O27:O45" si="4">N27/(36*25.4/1000)</f>
        <v>48.066359201330812</v>
      </c>
      <c r="P27">
        <v>2.53632485047356E-3</v>
      </c>
      <c r="Q27">
        <v>16.609520377944801</v>
      </c>
      <c r="R27" s="2">
        <f t="shared" ref="R27:R45" si="5">Q27/(36*25.4/1000)</f>
        <v>18.164392364331583</v>
      </c>
      <c r="S27">
        <v>1.5834513618609701E-3</v>
      </c>
      <c r="T27">
        <v>11.5493132537847</v>
      </c>
      <c r="U27" s="2">
        <f t="shared" ref="U27:U45" si="6">T27/(36*25.4/1000)</f>
        <v>12.63048256100689</v>
      </c>
      <c r="V27">
        <v>1.18903494486375E-3</v>
      </c>
      <c r="W27">
        <v>9.12366579378544</v>
      </c>
      <c r="X27" s="2">
        <f t="shared" ref="X27:X45" si="7">W27/(36*25.4/1000)</f>
        <v>9.9777622416726164</v>
      </c>
      <c r="Y27" s="1">
        <v>7.29604463231538E-4</v>
      </c>
      <c r="Z27">
        <v>278.00540193204301</v>
      </c>
      <c r="AA27" s="2">
        <f t="shared" ref="AA27:AA45" si="8">Z27/(36*25.4/1000)</f>
        <v>304.03040456260175</v>
      </c>
      <c r="AB27">
        <v>2.6444297872973499E-4</v>
      </c>
      <c r="AC27">
        <v>117.072656998932</v>
      </c>
      <c r="AD27" s="2">
        <f t="shared" ref="AD27:AD45" si="9">AC27/(36*25.4/1000)</f>
        <v>128.03221456576117</v>
      </c>
      <c r="AE27">
        <v>7.3802815408904497E-4</v>
      </c>
      <c r="AF27">
        <v>348.89982843147999</v>
      </c>
      <c r="AG27" s="2">
        <f t="shared" ref="AG27:AG41" si="10">AF27/(36*25.4/1000)</f>
        <v>381.56149216041121</v>
      </c>
    </row>
    <row r="28" spans="1:33" x14ac:dyDescent="0.3">
      <c r="A28">
        <v>1.5922770686011801E-3</v>
      </c>
      <c r="B28" s="1">
        <v>7.8466189899827299</v>
      </c>
      <c r="C28" s="2">
        <f t="shared" si="0"/>
        <v>8.5811668744343059</v>
      </c>
      <c r="D28">
        <v>1.26608617208768E-2</v>
      </c>
      <c r="E28" s="1">
        <v>32.7838983338441</v>
      </c>
      <c r="F28" s="2">
        <f t="shared" si="1"/>
        <v>35.852907189243332</v>
      </c>
      <c r="G28">
        <v>1.16942197035156E-2</v>
      </c>
      <c r="H28">
        <v>37.545543210306299</v>
      </c>
      <c r="I28" s="2">
        <f t="shared" si="2"/>
        <v>41.060305348104002</v>
      </c>
      <c r="J28">
        <v>9.6531010363682807E-3</v>
      </c>
      <c r="K28">
        <v>43.939593549851097</v>
      </c>
      <c r="L28" s="2">
        <f t="shared" si="3"/>
        <v>48.052923829670931</v>
      </c>
      <c r="M28">
        <v>1.15854113732768E-2</v>
      </c>
      <c r="N28">
        <v>67.448429591428393</v>
      </c>
      <c r="O28" s="2">
        <f t="shared" si="4"/>
        <v>73.76249955318066</v>
      </c>
      <c r="P28">
        <v>5.2517122181963702E-3</v>
      </c>
      <c r="Q28">
        <v>34.391659684660603</v>
      </c>
      <c r="R28" s="2">
        <f t="shared" si="5"/>
        <v>37.611176383049653</v>
      </c>
      <c r="S28">
        <v>3.2809376724498699E-3</v>
      </c>
      <c r="T28">
        <v>23.930369986693599</v>
      </c>
      <c r="U28" s="2">
        <f t="shared" si="6"/>
        <v>26.170570851589677</v>
      </c>
      <c r="V28">
        <v>2.4971040493576E-3</v>
      </c>
      <c r="W28">
        <v>19.160700782648199</v>
      </c>
      <c r="X28" s="2">
        <f t="shared" si="7"/>
        <v>20.954397181373796</v>
      </c>
      <c r="Y28" s="1">
        <v>2.6779214322582602E-3</v>
      </c>
      <c r="Z28">
        <v>998.21612804461199</v>
      </c>
      <c r="AA28" s="2">
        <f t="shared" si="8"/>
        <v>1091.6624322447637</v>
      </c>
      <c r="AB28">
        <v>5.5328349766373098E-4</v>
      </c>
      <c r="AC28">
        <v>244.79789897588</v>
      </c>
      <c r="AD28" s="2">
        <f t="shared" si="9"/>
        <v>267.71423772515311</v>
      </c>
      <c r="AE28">
        <v>2.1043335715650101E-3</v>
      </c>
      <c r="AF28">
        <v>986.13854338399699</v>
      </c>
      <c r="AG28" s="2">
        <f t="shared" si="10"/>
        <v>1078.4542250481156</v>
      </c>
    </row>
    <row r="29" spans="1:33" x14ac:dyDescent="0.3">
      <c r="A29">
        <v>2.3923097542450601E-3</v>
      </c>
      <c r="B29" s="1">
        <v>11.3429303258663</v>
      </c>
      <c r="C29" s="2">
        <f t="shared" si="0"/>
        <v>12.404779446485454</v>
      </c>
      <c r="D29">
        <v>1.9405199439192399E-2</v>
      </c>
      <c r="E29" s="1">
        <v>50.247613439569001</v>
      </c>
      <c r="F29" s="2">
        <f t="shared" si="1"/>
        <v>54.951458267245187</v>
      </c>
      <c r="G29">
        <v>1.7928357968055201E-2</v>
      </c>
      <c r="H29">
        <v>57.560910932525999</v>
      </c>
      <c r="I29" s="2">
        <f t="shared" si="2"/>
        <v>62.949377660242781</v>
      </c>
      <c r="J29">
        <v>1.4806490124128401E-2</v>
      </c>
      <c r="K29">
        <v>67.397114720230505</v>
      </c>
      <c r="L29" s="2">
        <f t="shared" si="3"/>
        <v>73.706380927636161</v>
      </c>
      <c r="M29">
        <v>1.5754811774967899E-2</v>
      </c>
      <c r="N29">
        <v>91.722018191018606</v>
      </c>
      <c r="O29" s="2">
        <f t="shared" si="4"/>
        <v>100.3084188440711</v>
      </c>
      <c r="P29">
        <v>8.01524180426684E-3</v>
      </c>
      <c r="Q29">
        <v>52.489065845516102</v>
      </c>
      <c r="R29" s="2">
        <f t="shared" si="5"/>
        <v>57.402740425979992</v>
      </c>
      <c r="S29">
        <v>5.0105137863265901E-3</v>
      </c>
      <c r="T29">
        <v>36.545482023952196</v>
      </c>
      <c r="U29" s="2">
        <f t="shared" si="6"/>
        <v>39.966625135555773</v>
      </c>
      <c r="V29">
        <v>3.83795204253558E-3</v>
      </c>
      <c r="W29">
        <v>29.449253716158101</v>
      </c>
      <c r="X29" s="2">
        <f t="shared" si="7"/>
        <v>32.206095490111657</v>
      </c>
      <c r="Y29">
        <v>5.1332568669735902E-3</v>
      </c>
      <c r="Z29">
        <v>1802.26502110921</v>
      </c>
      <c r="AA29" s="2">
        <f t="shared" si="8"/>
        <v>1970.9809942139218</v>
      </c>
      <c r="AB29">
        <v>8.0947638366667195E-4</v>
      </c>
      <c r="AC29">
        <v>357.828656920632</v>
      </c>
      <c r="AD29" s="2">
        <f t="shared" si="9"/>
        <v>391.32617773472441</v>
      </c>
      <c r="AE29">
        <v>3.67200191154375E-3</v>
      </c>
      <c r="AF29">
        <v>1686.68121204932</v>
      </c>
      <c r="AG29" s="2">
        <f t="shared" si="10"/>
        <v>1844.5770035534997</v>
      </c>
    </row>
    <row r="30" spans="1:33" x14ac:dyDescent="0.3">
      <c r="A30">
        <v>3.2899792461676199E-3</v>
      </c>
      <c r="B30" s="1">
        <v>14.725697893035401</v>
      </c>
      <c r="C30" s="2">
        <f t="shared" si="0"/>
        <v>16.104219043127078</v>
      </c>
      <c r="D30">
        <v>2.63538150236216E-2</v>
      </c>
      <c r="E30" s="1">
        <v>61.183742925753897</v>
      </c>
      <c r="F30" s="2">
        <f t="shared" si="1"/>
        <v>66.911354905680113</v>
      </c>
      <c r="G30">
        <v>2.4354714068411699E-2</v>
      </c>
      <c r="H30">
        <v>74.450241847879099</v>
      </c>
      <c r="I30" s="2">
        <f t="shared" si="2"/>
        <v>81.419774549299106</v>
      </c>
      <c r="J30">
        <v>2.0124396711414499E-2</v>
      </c>
      <c r="K30">
        <v>91.603497011380696</v>
      </c>
      <c r="L30" s="2">
        <f t="shared" si="3"/>
        <v>100.17880250588441</v>
      </c>
      <c r="M30">
        <v>2.05677572521927E-2</v>
      </c>
      <c r="N30">
        <v>119.742224266459</v>
      </c>
      <c r="O30" s="2">
        <f t="shared" si="4"/>
        <v>130.95168883033574</v>
      </c>
      <c r="P30">
        <v>1.085852843583E-2</v>
      </c>
      <c r="Q30">
        <v>71.108773505782395</v>
      </c>
      <c r="R30" s="2">
        <f t="shared" si="5"/>
        <v>77.76550033440769</v>
      </c>
      <c r="S30">
        <v>6.7933029229656702E-3</v>
      </c>
      <c r="T30">
        <v>49.548717046144802</v>
      </c>
      <c r="U30" s="2">
        <f t="shared" si="6"/>
        <v>54.187135877236223</v>
      </c>
      <c r="V30">
        <v>5.2287952051283497E-3</v>
      </c>
      <c r="W30">
        <v>40.121428021785498</v>
      </c>
      <c r="X30" s="2">
        <f t="shared" si="7"/>
        <v>43.877327232923776</v>
      </c>
      <c r="Y30">
        <v>8.03922356577658E-3</v>
      </c>
      <c r="Z30">
        <v>2538.71478005278</v>
      </c>
      <c r="AA30" s="2">
        <f t="shared" si="8"/>
        <v>2776.3722441522091</v>
      </c>
      <c r="AB30">
        <v>1.0021068019650599E-3</v>
      </c>
      <c r="AC30">
        <v>442.58488833823299</v>
      </c>
      <c r="AD30" s="2">
        <f t="shared" si="9"/>
        <v>484.01671953000107</v>
      </c>
      <c r="AE30">
        <v>5.3708904410655397E-3</v>
      </c>
      <c r="AF30">
        <v>2387.6359937588099</v>
      </c>
      <c r="AG30" s="2">
        <f t="shared" si="10"/>
        <v>2611.1504743644027</v>
      </c>
    </row>
    <row r="31" spans="1:33" x14ac:dyDescent="0.3">
      <c r="A31">
        <v>4.3948922465731396E-3</v>
      </c>
      <c r="B31" s="1">
        <v>18.043867768695701</v>
      </c>
      <c r="C31" s="2">
        <f t="shared" si="0"/>
        <v>19.733013745292762</v>
      </c>
      <c r="D31">
        <v>3.4282509265197297E-2</v>
      </c>
      <c r="E31" s="1">
        <v>65.700447441341097</v>
      </c>
      <c r="F31" s="2">
        <f t="shared" si="1"/>
        <v>71.850883028588257</v>
      </c>
      <c r="G31">
        <v>3.1705286905928699E-2</v>
      </c>
      <c r="H31">
        <v>79.642197921859506</v>
      </c>
      <c r="I31" s="2">
        <f t="shared" si="2"/>
        <v>87.097766756189316</v>
      </c>
      <c r="J31">
        <v>2.62361032278428E-2</v>
      </c>
      <c r="K31">
        <v>107.436451502718</v>
      </c>
      <c r="L31" s="2">
        <f t="shared" si="3"/>
        <v>117.49393208958662</v>
      </c>
      <c r="M31">
        <v>2.6005607366544701E-2</v>
      </c>
      <c r="N31">
        <v>137.11620849828901</v>
      </c>
      <c r="O31" s="2">
        <f t="shared" si="4"/>
        <v>149.95210903137468</v>
      </c>
      <c r="P31">
        <v>1.41199554725885E-2</v>
      </c>
      <c r="Q31">
        <v>92.466739074785195</v>
      </c>
      <c r="R31" s="2">
        <f t="shared" si="5"/>
        <v>101.12285550610804</v>
      </c>
      <c r="S31">
        <v>8.8483415897009105E-3</v>
      </c>
      <c r="T31">
        <v>64.537674637410205</v>
      </c>
      <c r="U31" s="2">
        <f t="shared" si="6"/>
        <v>70.579259227264004</v>
      </c>
      <c r="V31">
        <v>6.8543689838678097E-3</v>
      </c>
      <c r="W31">
        <v>52.594729958305997</v>
      </c>
      <c r="X31" s="2">
        <f t="shared" si="7"/>
        <v>57.518296104884072</v>
      </c>
      <c r="Y31">
        <v>1.14955838650372E-2</v>
      </c>
      <c r="Z31">
        <v>3112.2360011461601</v>
      </c>
      <c r="AA31" s="2">
        <f t="shared" si="8"/>
        <v>3403.5826784188102</v>
      </c>
      <c r="AB31">
        <v>1.08386099557018E-3</v>
      </c>
      <c r="AC31">
        <v>478.483036737639</v>
      </c>
      <c r="AD31" s="2">
        <f t="shared" si="9"/>
        <v>523.27541200529197</v>
      </c>
      <c r="AE31">
        <v>7.1828538617718296E-3</v>
      </c>
      <c r="AF31">
        <v>3050.2018713810598</v>
      </c>
      <c r="AG31" s="2">
        <f t="shared" si="10"/>
        <v>3335.7413291568896</v>
      </c>
    </row>
    <row r="32" spans="1:33" x14ac:dyDescent="0.3">
      <c r="A32">
        <v>5.6992717670009997E-3</v>
      </c>
      <c r="B32" s="1">
        <v>20.854335429088199</v>
      </c>
      <c r="C32" s="2">
        <f t="shared" si="0"/>
        <v>22.806578553246062</v>
      </c>
      <c r="D32">
        <v>4.3121145246782601E-2</v>
      </c>
      <c r="E32" s="1">
        <v>70.735514481802994</v>
      </c>
      <c r="F32" s="2">
        <f t="shared" si="1"/>
        <v>77.357299302059275</v>
      </c>
      <c r="G32">
        <v>3.99196328438821E-2</v>
      </c>
      <c r="H32">
        <v>85.444265900651203</v>
      </c>
      <c r="I32" s="2">
        <f t="shared" si="2"/>
        <v>93.442985455655304</v>
      </c>
      <c r="J32">
        <v>3.3102891559196303E-2</v>
      </c>
      <c r="K32">
        <v>114.31292106103599</v>
      </c>
      <c r="L32" s="2">
        <f t="shared" si="3"/>
        <v>125.0141306441776</v>
      </c>
      <c r="M32">
        <v>3.1926258269882303E-2</v>
      </c>
      <c r="N32">
        <v>144.69940864535201</v>
      </c>
      <c r="O32" s="2">
        <f t="shared" si="4"/>
        <v>158.24519755615924</v>
      </c>
      <c r="P32">
        <v>1.7816894728844498E-2</v>
      </c>
      <c r="Q32">
        <v>116.676724598265</v>
      </c>
      <c r="R32" s="2">
        <f t="shared" si="5"/>
        <v>127.59921762714895</v>
      </c>
      <c r="S32">
        <v>1.11933535450851E-2</v>
      </c>
      <c r="T32">
        <v>81.641627628282293</v>
      </c>
      <c r="U32" s="2">
        <f t="shared" si="6"/>
        <v>89.284369672224727</v>
      </c>
      <c r="V32">
        <v>8.7210737245793698E-3</v>
      </c>
      <c r="W32">
        <v>66.918270459362205</v>
      </c>
      <c r="X32" s="2">
        <f t="shared" si="7"/>
        <v>73.182710476117904</v>
      </c>
      <c r="Y32">
        <v>1.5711534968101099E-2</v>
      </c>
      <c r="Z32">
        <v>3487.8285388558902</v>
      </c>
      <c r="AA32" s="2">
        <f t="shared" si="8"/>
        <v>3814.3356724145783</v>
      </c>
      <c r="AB32">
        <v>9.9180005310526708E-4</v>
      </c>
      <c r="AC32">
        <v>438.05592200781098</v>
      </c>
      <c r="AD32" s="2">
        <f t="shared" si="9"/>
        <v>479.06378172332785</v>
      </c>
      <c r="AE32">
        <v>9.1199670819589202E-3</v>
      </c>
      <c r="AF32">
        <v>3651.1164857133999</v>
      </c>
      <c r="AG32" s="2">
        <f t="shared" si="10"/>
        <v>3992.9095425562118</v>
      </c>
    </row>
    <row r="33" spans="1:33" x14ac:dyDescent="0.3">
      <c r="A33">
        <v>7.16607609740064E-3</v>
      </c>
      <c r="B33" s="1">
        <v>22.890237538778202</v>
      </c>
      <c r="C33" s="2">
        <f t="shared" si="0"/>
        <v>25.033068174516842</v>
      </c>
      <c r="D33">
        <v>5.2638533601340798E-2</v>
      </c>
      <c r="E33" s="1">
        <v>76.157243413184702</v>
      </c>
      <c r="F33" s="2">
        <f t="shared" si="1"/>
        <v>83.286574161400594</v>
      </c>
      <c r="G33">
        <v>4.8781074139270499E-2</v>
      </c>
      <c r="H33">
        <v>91.703399028750894</v>
      </c>
      <c r="I33" s="2">
        <f t="shared" si="2"/>
        <v>100.28805668061122</v>
      </c>
      <c r="J33">
        <v>4.0542232459143603E-2</v>
      </c>
      <c r="K33">
        <v>121.76275040831101</v>
      </c>
      <c r="L33" s="2">
        <f t="shared" si="3"/>
        <v>133.16136308870406</v>
      </c>
      <c r="M33">
        <v>3.82478248758314E-2</v>
      </c>
      <c r="N33">
        <v>152.79610368759501</v>
      </c>
      <c r="O33" s="2">
        <f t="shared" si="4"/>
        <v>167.09985092694117</v>
      </c>
      <c r="P33">
        <v>2.1878179694475398E-2</v>
      </c>
      <c r="Q33">
        <v>143.27268504264299</v>
      </c>
      <c r="R33" s="2">
        <f t="shared" si="5"/>
        <v>156.68491365118439</v>
      </c>
      <c r="S33">
        <v>1.3788123628913599E-2</v>
      </c>
      <c r="T33">
        <v>100.567256316027</v>
      </c>
      <c r="U33" s="2">
        <f t="shared" si="6"/>
        <v>109.98168888454396</v>
      </c>
      <c r="V33">
        <v>1.0787705231347099E-2</v>
      </c>
      <c r="W33">
        <v>82.775882776060797</v>
      </c>
      <c r="X33" s="2">
        <f t="shared" si="7"/>
        <v>90.524806185543298</v>
      </c>
      <c r="Y33">
        <v>2.0751055165872299E-2</v>
      </c>
      <c r="Z33">
        <v>3681.9386093135499</v>
      </c>
      <c r="AA33" s="2">
        <f t="shared" si="8"/>
        <v>4026.6170268083442</v>
      </c>
      <c r="AB33">
        <v>6.6505670989200902E-4</v>
      </c>
      <c r="AC33">
        <v>294.14864225165098</v>
      </c>
      <c r="AD33" s="2">
        <f t="shared" si="9"/>
        <v>321.68486685438648</v>
      </c>
      <c r="AE33">
        <v>1.1124940169705499E-2</v>
      </c>
      <c r="AF33">
        <v>4157.0110239175601</v>
      </c>
      <c r="AG33" s="2">
        <f t="shared" si="10"/>
        <v>4546.1625370926949</v>
      </c>
    </row>
    <row r="34" spans="1:33" x14ac:dyDescent="0.3">
      <c r="A34">
        <v>8.7903513973495093E-3</v>
      </c>
      <c r="B34" s="1">
        <v>24.206324211900501</v>
      </c>
      <c r="C34" s="2">
        <f t="shared" si="0"/>
        <v>26.472358062008421</v>
      </c>
      <c r="D34">
        <v>6.2707943269279004E-2</v>
      </c>
      <c r="E34" s="1">
        <v>81.893439907935104</v>
      </c>
      <c r="F34" s="2">
        <f t="shared" si="1"/>
        <v>89.559754929937782</v>
      </c>
      <c r="G34">
        <v>5.81701173605014E-2</v>
      </c>
      <c r="H34">
        <v>98.335195088580306</v>
      </c>
      <c r="I34" s="2">
        <f t="shared" si="2"/>
        <v>107.54067704350427</v>
      </c>
      <c r="J34">
        <v>4.8451682978981399E-2</v>
      </c>
      <c r="K34">
        <v>129.68335216537301</v>
      </c>
      <c r="L34" s="2">
        <f t="shared" si="3"/>
        <v>141.82343850106409</v>
      </c>
      <c r="M34">
        <v>4.4960537922871899E-2</v>
      </c>
      <c r="N34">
        <v>161.393781104586</v>
      </c>
      <c r="O34" s="2">
        <f t="shared" si="4"/>
        <v>176.50238528498031</v>
      </c>
      <c r="P34">
        <v>2.6255144217902999E-2</v>
      </c>
      <c r="Q34">
        <v>154.59368839237601</v>
      </c>
      <c r="R34" s="2">
        <f t="shared" si="5"/>
        <v>169.06571346497813</v>
      </c>
      <c r="S34">
        <v>1.6605441009484599E-2</v>
      </c>
      <c r="T34">
        <v>121.116091441159</v>
      </c>
      <c r="U34" s="2">
        <f t="shared" si="6"/>
        <v>132.45416824273732</v>
      </c>
      <c r="V34">
        <v>1.30311397054504E-2</v>
      </c>
      <c r="W34">
        <v>99.990134098439199</v>
      </c>
      <c r="X34" s="2">
        <f t="shared" si="7"/>
        <v>109.3505403526238</v>
      </c>
      <c r="Y34">
        <v>2.6553657795803199E-2</v>
      </c>
      <c r="Z34">
        <v>3760.9821473605498</v>
      </c>
      <c r="AA34" s="2">
        <f t="shared" si="8"/>
        <v>4113.0600911642059</v>
      </c>
      <c r="AB34" s="1">
        <v>7.3187494878384802E-5</v>
      </c>
      <c r="AC34">
        <v>32.406519169649599</v>
      </c>
      <c r="AD34" s="2">
        <f t="shared" si="9"/>
        <v>35.440200316764653</v>
      </c>
      <c r="AE34">
        <v>1.3122166951402E-2</v>
      </c>
      <c r="AF34">
        <v>4553.9427272784797</v>
      </c>
      <c r="AG34" s="2">
        <f t="shared" si="10"/>
        <v>4980.2523264200345</v>
      </c>
    </row>
    <row r="35" spans="1:33" x14ac:dyDescent="0.3">
      <c r="A35">
        <v>1.0573439387226199E-2</v>
      </c>
      <c r="B35" s="1">
        <v>24.977455212560798</v>
      </c>
      <c r="C35" s="2">
        <f t="shared" si="0"/>
        <v>27.315677179090986</v>
      </c>
      <c r="D35">
        <v>7.3311711840767804E-2</v>
      </c>
      <c r="E35" s="1">
        <v>86.610800007169303</v>
      </c>
      <c r="F35" s="2">
        <f t="shared" si="1"/>
        <v>94.71872266750799</v>
      </c>
      <c r="G35">
        <v>6.8070302002795999E-2</v>
      </c>
      <c r="H35">
        <v>105.328027473661</v>
      </c>
      <c r="I35" s="2">
        <f t="shared" si="2"/>
        <v>115.1881315328751</v>
      </c>
      <c r="J35">
        <v>5.6817701010005599E-2</v>
      </c>
      <c r="K35">
        <v>138.06116513100699</v>
      </c>
      <c r="L35" s="2">
        <f t="shared" si="3"/>
        <v>150.98552617126748</v>
      </c>
      <c r="M35">
        <v>5.2159875751270103E-2</v>
      </c>
      <c r="N35">
        <v>170.614730045908</v>
      </c>
      <c r="O35" s="2">
        <f t="shared" si="4"/>
        <v>186.58653767050308</v>
      </c>
      <c r="P35">
        <v>3.0934329030532899E-2</v>
      </c>
      <c r="Q35">
        <v>161.33501074557</v>
      </c>
      <c r="R35" s="2">
        <f t="shared" si="5"/>
        <v>176.43811323881235</v>
      </c>
      <c r="S35">
        <v>1.9640094005426802E-2</v>
      </c>
      <c r="T35">
        <v>143.25012025369</v>
      </c>
      <c r="U35" s="2">
        <f t="shared" si="6"/>
        <v>156.6602364979112</v>
      </c>
      <c r="V35">
        <v>1.5453622131832601E-2</v>
      </c>
      <c r="W35">
        <v>118.57825057483301</v>
      </c>
      <c r="X35" s="2">
        <f t="shared" si="7"/>
        <v>129.67875172225831</v>
      </c>
      <c r="Y35">
        <v>3.3119577925271697E-2</v>
      </c>
      <c r="Z35">
        <v>3787.5519504434901</v>
      </c>
      <c r="AA35" s="2">
        <f t="shared" si="8"/>
        <v>4142.1171811499235</v>
      </c>
      <c r="AB35">
        <v>8.12760024560377E-4</v>
      </c>
      <c r="AC35">
        <v>359.27528157412002</v>
      </c>
      <c r="AD35" s="2">
        <f t="shared" si="9"/>
        <v>392.90822569348211</v>
      </c>
      <c r="AE35">
        <v>1.5067218100842701E-2</v>
      </c>
      <c r="AF35">
        <v>4852.6496804672897</v>
      </c>
      <c r="AG35" s="2">
        <f t="shared" si="10"/>
        <v>5306.9222227332566</v>
      </c>
    </row>
    <row r="36" spans="1:33" x14ac:dyDescent="0.3">
      <c r="A36">
        <v>1.2486440089454501E-2</v>
      </c>
      <c r="B36" s="1">
        <v>25.386663052917498</v>
      </c>
      <c r="C36" s="2">
        <f t="shared" si="0"/>
        <v>27.763192315089128</v>
      </c>
      <c r="D36">
        <v>8.4590794738759703E-2</v>
      </c>
      <c r="E36" s="1">
        <v>89.881864749840702</v>
      </c>
      <c r="F36" s="2">
        <f t="shared" si="1"/>
        <v>98.296002569817048</v>
      </c>
      <c r="G36">
        <v>7.8614987949253298E-2</v>
      </c>
      <c r="H36">
        <v>109.296505305113</v>
      </c>
      <c r="I36" s="2">
        <f t="shared" si="2"/>
        <v>119.52811166350941</v>
      </c>
      <c r="J36">
        <v>6.5755956892036699E-2</v>
      </c>
      <c r="K36">
        <v>147.012022724302</v>
      </c>
      <c r="L36" s="2">
        <f t="shared" si="3"/>
        <v>160.77430306682197</v>
      </c>
      <c r="M36">
        <v>5.98646790368026E-2</v>
      </c>
      <c r="N36">
        <v>180.48308174605799</v>
      </c>
      <c r="O36" s="2">
        <f t="shared" si="4"/>
        <v>197.37869832246062</v>
      </c>
      <c r="P36">
        <v>3.5987235059510202E-2</v>
      </c>
      <c r="Q36">
        <v>168.614754915921</v>
      </c>
      <c r="R36" s="2">
        <f t="shared" si="5"/>
        <v>184.3993382720046</v>
      </c>
      <c r="S36">
        <v>2.29426302953392E-2</v>
      </c>
      <c r="T36">
        <v>166.867930674744</v>
      </c>
      <c r="U36" s="2">
        <f t="shared" si="6"/>
        <v>182.48898805199477</v>
      </c>
      <c r="V36">
        <v>1.8096012623868001E-2</v>
      </c>
      <c r="W36">
        <v>138.85375875072501</v>
      </c>
      <c r="X36" s="2">
        <f t="shared" si="7"/>
        <v>151.85231709396874</v>
      </c>
      <c r="Y36">
        <v>4.0543647382050803E-2</v>
      </c>
      <c r="Z36">
        <v>3795.0929995471001</v>
      </c>
      <c r="AA36" s="2">
        <f t="shared" si="8"/>
        <v>4150.3641727330496</v>
      </c>
      <c r="AB36">
        <v>2.0463879561988399E-3</v>
      </c>
      <c r="AC36">
        <v>896.49927315921104</v>
      </c>
      <c r="AD36" s="2">
        <f t="shared" si="9"/>
        <v>980.42352707700252</v>
      </c>
      <c r="AE36">
        <v>1.6925889338636198E-2</v>
      </c>
      <c r="AF36">
        <v>5071.5518267623802</v>
      </c>
      <c r="AG36" s="2">
        <f t="shared" si="10"/>
        <v>5546.3165209562339</v>
      </c>
    </row>
    <row r="37" spans="1:33" x14ac:dyDescent="0.3">
      <c r="A37">
        <v>1.44942291163837E-2</v>
      </c>
      <c r="B37" s="1">
        <v>25.587424310800401</v>
      </c>
      <c r="C37" s="2">
        <f t="shared" si="0"/>
        <v>27.982747496500878</v>
      </c>
      <c r="D37">
        <v>9.6564626259954003E-2</v>
      </c>
      <c r="E37" s="1">
        <v>93.354414644002603</v>
      </c>
      <c r="F37" s="2">
        <f t="shared" si="1"/>
        <v>102.0936293132137</v>
      </c>
      <c r="G37">
        <v>8.98237314705322E-2</v>
      </c>
      <c r="H37">
        <v>113.327034745014</v>
      </c>
      <c r="I37" s="2">
        <f t="shared" si="2"/>
        <v>123.93595225832678</v>
      </c>
      <c r="J37">
        <v>7.5286042386758095E-2</v>
      </c>
      <c r="K37">
        <v>153.25884580918699</v>
      </c>
      <c r="L37" s="2">
        <f t="shared" si="3"/>
        <v>167.60591186481517</v>
      </c>
      <c r="M37">
        <v>6.8087391658601004E-2</v>
      </c>
      <c r="N37">
        <v>191.01477438946799</v>
      </c>
      <c r="O37" s="2">
        <f t="shared" si="4"/>
        <v>208.8962974512992</v>
      </c>
      <c r="P37">
        <v>4.1453521030441698E-2</v>
      </c>
      <c r="Q37">
        <v>176.49005740564701</v>
      </c>
      <c r="R37" s="2">
        <f t="shared" si="5"/>
        <v>193.01187380320101</v>
      </c>
      <c r="S37">
        <v>2.65433875186693E-2</v>
      </c>
      <c r="T37">
        <v>172.64580317997999</v>
      </c>
      <c r="U37" s="2">
        <f t="shared" si="6"/>
        <v>188.80774625982065</v>
      </c>
      <c r="V37">
        <v>2.0971806075902499E-2</v>
      </c>
      <c r="W37">
        <v>160.92020722783499</v>
      </c>
      <c r="X37" s="2">
        <f t="shared" si="7"/>
        <v>175.98447859562006</v>
      </c>
      <c r="Y37">
        <v>4.8763033219078197E-2</v>
      </c>
      <c r="Z37">
        <v>3796.8629416019699</v>
      </c>
      <c r="AA37" s="2">
        <f t="shared" si="8"/>
        <v>4152.2998049015423</v>
      </c>
      <c r="AB37">
        <v>3.66136042168553E-3</v>
      </c>
      <c r="AC37">
        <v>1567.5849888242201</v>
      </c>
      <c r="AD37" s="2">
        <f t="shared" si="9"/>
        <v>1714.331790052734</v>
      </c>
      <c r="AE37">
        <v>1.8615278251213299E-2</v>
      </c>
      <c r="AF37">
        <v>5225.0991116712703</v>
      </c>
      <c r="AG37" s="2">
        <f t="shared" si="10"/>
        <v>5714.237873656245</v>
      </c>
    </row>
    <row r="38" spans="1:33" x14ac:dyDescent="0.3">
      <c r="A38">
        <v>1.6571056600285201E-2</v>
      </c>
      <c r="B38" s="1">
        <v>25.680767640780299</v>
      </c>
      <c r="C38" s="2">
        <f t="shared" si="0"/>
        <v>28.084829003478017</v>
      </c>
      <c r="D38">
        <v>0.109243408465676</v>
      </c>
      <c r="E38" s="1">
        <v>97.031408405661395</v>
      </c>
      <c r="F38" s="2">
        <f t="shared" si="1"/>
        <v>106.11483858886854</v>
      </c>
      <c r="G38">
        <v>0.10170716559852799</v>
      </c>
      <c r="H38">
        <v>117.600174817233</v>
      </c>
      <c r="I38" s="2">
        <f t="shared" si="2"/>
        <v>128.60911506696522</v>
      </c>
      <c r="J38">
        <v>8.5419593329442503E-2</v>
      </c>
      <c r="K38">
        <v>158.42501780838199</v>
      </c>
      <c r="L38" s="2">
        <f t="shared" si="3"/>
        <v>173.25570626463474</v>
      </c>
      <c r="M38">
        <v>7.6828314891978597E-2</v>
      </c>
      <c r="N38">
        <v>197.023992534819</v>
      </c>
      <c r="O38" s="2">
        <f t="shared" si="4"/>
        <v>215.46805832766734</v>
      </c>
      <c r="P38">
        <v>4.7351877220632999E-2</v>
      </c>
      <c r="Q38">
        <v>184.987845380321</v>
      </c>
      <c r="R38" s="2">
        <f t="shared" si="5"/>
        <v>202.30516773875877</v>
      </c>
      <c r="S38">
        <v>3.0458776390356299E-2</v>
      </c>
      <c r="T38">
        <v>178.928542144565</v>
      </c>
      <c r="U38" s="2">
        <f t="shared" si="6"/>
        <v>195.67863314147527</v>
      </c>
      <c r="V38">
        <v>2.4092409381833501E-2</v>
      </c>
      <c r="W38">
        <v>177.48906459660901</v>
      </c>
      <c r="X38" s="2">
        <f t="shared" si="7"/>
        <v>194.10440135237207</v>
      </c>
      <c r="Y38">
        <v>5.7704994129879297E-2</v>
      </c>
      <c r="Z38">
        <v>3797.2129739802199</v>
      </c>
      <c r="AA38" s="2">
        <f t="shared" si="8"/>
        <v>4152.6826049652445</v>
      </c>
      <c r="AB38">
        <v>5.6836651727410203E-3</v>
      </c>
      <c r="AC38">
        <v>2326.6483536741098</v>
      </c>
      <c r="AD38" s="2">
        <f t="shared" si="9"/>
        <v>2544.453580133541</v>
      </c>
      <c r="AE38">
        <v>2.00590892205934E-2</v>
      </c>
      <c r="AF38">
        <v>5328.7283154555798</v>
      </c>
      <c r="AG38" s="2">
        <f t="shared" si="10"/>
        <v>5827.5681490109146</v>
      </c>
    </row>
    <row r="39" spans="1:33" x14ac:dyDescent="0.3">
      <c r="A39">
        <v>1.86915844998265E-2</v>
      </c>
      <c r="B39" s="1">
        <v>25.722507116157601</v>
      </c>
      <c r="C39" s="2">
        <f t="shared" si="0"/>
        <v>28.130475848816275</v>
      </c>
      <c r="D39">
        <v>0.12262220123376</v>
      </c>
      <c r="E39" s="1">
        <v>100.911413342142</v>
      </c>
      <c r="F39" s="2">
        <f t="shared" si="1"/>
        <v>110.35806358501968</v>
      </c>
      <c r="G39">
        <v>0.114261206453801</v>
      </c>
      <c r="H39">
        <v>122.11445700781201</v>
      </c>
      <c r="I39" s="2">
        <f t="shared" si="2"/>
        <v>133.54599410303152</v>
      </c>
      <c r="J39">
        <v>9.6154541589562006E-2</v>
      </c>
      <c r="K39">
        <v>163.897787366448</v>
      </c>
      <c r="L39" s="2">
        <f t="shared" si="3"/>
        <v>179.24079983207349</v>
      </c>
      <c r="M39">
        <v>8.6075210046560602E-2</v>
      </c>
      <c r="N39">
        <v>203.05339590324101</v>
      </c>
      <c r="O39" s="2">
        <f t="shared" si="4"/>
        <v>222.06189403241581</v>
      </c>
      <c r="P39">
        <v>5.36869260887015E-2</v>
      </c>
      <c r="Q39">
        <v>194.114778436612</v>
      </c>
      <c r="R39" s="2">
        <f t="shared" si="5"/>
        <v>212.28650310215662</v>
      </c>
      <c r="S39">
        <v>3.4694938838231999E-2</v>
      </c>
      <c r="T39">
        <v>185.72600307214699</v>
      </c>
      <c r="U39" s="2">
        <f t="shared" si="6"/>
        <v>203.11242680680994</v>
      </c>
      <c r="V39">
        <v>2.7463231868116299E-2</v>
      </c>
      <c r="W39">
        <v>183.17934035219699</v>
      </c>
      <c r="X39" s="2">
        <f t="shared" si="7"/>
        <v>200.32736258989172</v>
      </c>
      <c r="Y39">
        <v>6.7288996273715707E-2</v>
      </c>
      <c r="Z39">
        <v>3797.2723608941001</v>
      </c>
      <c r="AA39" s="2">
        <f t="shared" si="8"/>
        <v>4152.7475512840119</v>
      </c>
      <c r="AB39">
        <v>8.1213600508816507E-3</v>
      </c>
      <c r="AC39">
        <v>3089.31936652899</v>
      </c>
      <c r="AD39" s="2">
        <f t="shared" si="9"/>
        <v>3378.5207420483271</v>
      </c>
      <c r="AE39">
        <v>2.1204131387672499E-2</v>
      </c>
      <c r="AF39">
        <v>5396.0696225596303</v>
      </c>
      <c r="AG39" s="2">
        <f t="shared" si="10"/>
        <v>5901.2134979873472</v>
      </c>
    </row>
    <row r="40" spans="1:33" x14ac:dyDescent="0.3">
      <c r="A40">
        <v>2.08410337133897E-2</v>
      </c>
      <c r="B40" s="1">
        <v>25.740738301669101</v>
      </c>
      <c r="C40" s="2">
        <f t="shared" si="0"/>
        <v>28.150413715736111</v>
      </c>
      <c r="D40">
        <v>0.136678611173429</v>
      </c>
      <c r="E40" s="1">
        <v>104.987935110625</v>
      </c>
      <c r="F40" s="2">
        <f t="shared" si="1"/>
        <v>114.81620200199585</v>
      </c>
      <c r="G40">
        <v>0.127465107784382</v>
      </c>
      <c r="H40">
        <v>126.862421213917</v>
      </c>
      <c r="I40" s="2">
        <f t="shared" si="2"/>
        <v>138.73843089885938</v>
      </c>
      <c r="J40">
        <v>0.107474013662876</v>
      </c>
      <c r="K40">
        <v>169.668552224845</v>
      </c>
      <c r="L40" s="2">
        <f t="shared" si="3"/>
        <v>185.55178502279637</v>
      </c>
      <c r="M40">
        <v>9.5770112663032494E-2</v>
      </c>
      <c r="N40">
        <v>209.374920860006</v>
      </c>
      <c r="O40" s="2">
        <f t="shared" si="4"/>
        <v>228.97519779090771</v>
      </c>
      <c r="P40">
        <v>6.0453624077247602E-2</v>
      </c>
      <c r="Q40">
        <v>203.863590298964</v>
      </c>
      <c r="R40" s="2">
        <f t="shared" si="5"/>
        <v>222.94793339781714</v>
      </c>
      <c r="S40">
        <v>3.9250935427478602E-2</v>
      </c>
      <c r="T40">
        <v>193.03667852018799</v>
      </c>
      <c r="U40" s="2">
        <f t="shared" si="6"/>
        <v>211.10747869661853</v>
      </c>
      <c r="V40">
        <v>3.1085074067488401E-2</v>
      </c>
      <c r="W40">
        <v>189.293361764335</v>
      </c>
      <c r="X40" s="2">
        <f t="shared" si="7"/>
        <v>207.01373771252736</v>
      </c>
      <c r="Y40">
        <v>7.7461311156784105E-2</v>
      </c>
      <c r="Z40">
        <v>3797.2811724771</v>
      </c>
      <c r="AA40" s="2">
        <f t="shared" si="8"/>
        <v>4152.7571877483597</v>
      </c>
      <c r="AB40">
        <v>1.0980667660295601E-2</v>
      </c>
      <c r="AC40">
        <v>3762.5613045422401</v>
      </c>
      <c r="AD40" s="2">
        <f t="shared" si="9"/>
        <v>4114.7870784582683</v>
      </c>
      <c r="AE40">
        <v>2.20136051897457E-2</v>
      </c>
      <c r="AF40">
        <v>5436.9452963128497</v>
      </c>
      <c r="AG40" s="2">
        <f t="shared" si="10"/>
        <v>5945.9156783823819</v>
      </c>
    </row>
    <row r="41" spans="1:33" x14ac:dyDescent="0.3">
      <c r="A41">
        <v>2.3009074628597199E-2</v>
      </c>
      <c r="B41" s="1">
        <v>25.748580813892399</v>
      </c>
      <c r="C41" s="2">
        <f t="shared" si="0"/>
        <v>28.158990391395889</v>
      </c>
      <c r="D41">
        <v>0.15133208809368801</v>
      </c>
      <c r="E41" s="1">
        <v>109.23761322230401</v>
      </c>
      <c r="F41" s="2">
        <f t="shared" si="1"/>
        <v>119.46370649858268</v>
      </c>
      <c r="G41">
        <v>0.14124196895623001</v>
      </c>
      <c r="H41">
        <v>131.8164148919</v>
      </c>
      <c r="I41" s="2">
        <f t="shared" si="2"/>
        <v>144.1561842649825</v>
      </c>
      <c r="J41">
        <v>0.119309702323111</v>
      </c>
      <c r="K41">
        <v>175.70248876826801</v>
      </c>
      <c r="L41" s="2">
        <f t="shared" si="3"/>
        <v>192.15057826800964</v>
      </c>
      <c r="M41">
        <v>0.10586156122597901</v>
      </c>
      <c r="N41">
        <v>215.955012116642</v>
      </c>
      <c r="O41" s="2">
        <f t="shared" si="4"/>
        <v>236.1712730934405</v>
      </c>
      <c r="P41">
        <v>6.7616151180693404E-2</v>
      </c>
      <c r="Q41">
        <v>214.18267492616101</v>
      </c>
      <c r="R41" s="2">
        <f t="shared" si="5"/>
        <v>234.23302157279201</v>
      </c>
      <c r="S41">
        <v>4.4102625740149497E-2</v>
      </c>
      <c r="T41">
        <v>200.82183212062299</v>
      </c>
      <c r="U41" s="2">
        <f t="shared" si="6"/>
        <v>219.62142620365594</v>
      </c>
      <c r="V41">
        <v>3.4933253507378803E-2</v>
      </c>
      <c r="W41">
        <v>195.78946242198401</v>
      </c>
      <c r="X41" s="2">
        <f t="shared" si="7"/>
        <v>214.11795977907263</v>
      </c>
      <c r="Y41">
        <v>8.81876220593375E-2</v>
      </c>
      <c r="Z41">
        <v>3797.2823302296501</v>
      </c>
      <c r="AA41" s="2">
        <f t="shared" si="8"/>
        <v>4152.7584538819447</v>
      </c>
      <c r="AB41">
        <v>1.42656553336559E-2</v>
      </c>
      <c r="AC41">
        <v>4281.34702885351</v>
      </c>
      <c r="AD41" s="2">
        <f t="shared" si="9"/>
        <v>4682.1380455528324</v>
      </c>
      <c r="AE41">
        <v>2.2463862320816E-2</v>
      </c>
      <c r="AF41">
        <v>5457.5377845454605</v>
      </c>
      <c r="AG41" s="2">
        <f t="shared" si="10"/>
        <v>5968.4358973594271</v>
      </c>
    </row>
    <row r="42" spans="1:33" x14ac:dyDescent="0.3">
      <c r="A42">
        <v>2.52004604139522E-2</v>
      </c>
      <c r="B42" s="1">
        <v>25.751933106236802</v>
      </c>
      <c r="C42" s="2">
        <f t="shared" si="0"/>
        <v>28.162656502883642</v>
      </c>
      <c r="D42">
        <v>0.16651024043104201</v>
      </c>
      <c r="E42" s="1">
        <v>113.63945328489</v>
      </c>
      <c r="F42" s="2">
        <f t="shared" si="1"/>
        <v>124.27761732818242</v>
      </c>
      <c r="G42">
        <v>0.15552278516926801</v>
      </c>
      <c r="H42">
        <v>136.951624745099</v>
      </c>
      <c r="I42" s="2">
        <f t="shared" si="2"/>
        <v>149.77211805019576</v>
      </c>
      <c r="J42">
        <v>0.13160057292538299</v>
      </c>
      <c r="K42">
        <v>181.968481006361</v>
      </c>
      <c r="L42" s="2">
        <f t="shared" si="3"/>
        <v>199.00315070686898</v>
      </c>
      <c r="M42">
        <v>0.116297389987323</v>
      </c>
      <c r="N42">
        <v>222.75965519240401</v>
      </c>
      <c r="O42" s="2">
        <f t="shared" si="4"/>
        <v>243.61292125153545</v>
      </c>
      <c r="P42">
        <v>7.5132340131947195E-2</v>
      </c>
      <c r="Q42">
        <v>220.377107026647</v>
      </c>
      <c r="R42" s="2">
        <f t="shared" si="5"/>
        <v>241.00733489353345</v>
      </c>
      <c r="S42">
        <v>4.9220759964014302E-2</v>
      </c>
      <c r="T42">
        <v>209.03452883301799</v>
      </c>
      <c r="U42" s="2">
        <f t="shared" si="6"/>
        <v>228.60294054354549</v>
      </c>
      <c r="V42">
        <v>3.8986961239731097E-2</v>
      </c>
      <c r="W42">
        <v>202.63251479970799</v>
      </c>
      <c r="X42" s="2">
        <f t="shared" si="7"/>
        <v>221.60161286057306</v>
      </c>
      <c r="Y42">
        <v>9.9448805332066903E-2</v>
      </c>
      <c r="Z42">
        <v>3797.2824660025599</v>
      </c>
      <c r="AA42" s="2">
        <f t="shared" si="8"/>
        <v>4152.7586023650047</v>
      </c>
      <c r="AB42">
        <v>1.7982105611544501E-2</v>
      </c>
      <c r="AC42">
        <v>4631.3917943055403</v>
      </c>
      <c r="AD42" s="2">
        <f t="shared" si="9"/>
        <v>5064.9516560646771</v>
      </c>
      <c r="AE42">
        <v>2.2536418378141899E-2</v>
      </c>
      <c r="AF42">
        <v>5460.7219541352197</v>
      </c>
      <c r="AG42" s="2"/>
    </row>
    <row r="43" spans="1:33" x14ac:dyDescent="0.3">
      <c r="A43">
        <v>2.7441274527332901E-2</v>
      </c>
      <c r="B43" s="1">
        <v>25.753362960374901</v>
      </c>
      <c r="C43" s="2">
        <f t="shared" si="0"/>
        <v>28.16422021038375</v>
      </c>
      <c r="D43">
        <v>0.182141073465374</v>
      </c>
      <c r="E43" s="1">
        <v>118.172575995274</v>
      </c>
      <c r="F43" s="2">
        <f t="shared" si="1"/>
        <v>129.23510060725502</v>
      </c>
      <c r="G43">
        <v>0.17023877044326099</v>
      </c>
      <c r="H43">
        <v>142.24331616183699</v>
      </c>
      <c r="I43" s="2">
        <f t="shared" si="2"/>
        <v>155.55918215423992</v>
      </c>
      <c r="J43">
        <v>0.14428539053447001</v>
      </c>
      <c r="K43">
        <v>188.435310839024</v>
      </c>
      <c r="L43" s="2">
        <f t="shared" si="3"/>
        <v>206.07536180995626</v>
      </c>
      <c r="M43">
        <v>0.12719314730157699</v>
      </c>
      <c r="N43">
        <v>229.86419295927999</v>
      </c>
      <c r="O43" s="2">
        <f t="shared" si="4"/>
        <v>251.38253823193349</v>
      </c>
      <c r="P43">
        <v>8.2970715827891006E-2</v>
      </c>
      <c r="Q43">
        <v>226.12616003642799</v>
      </c>
      <c r="R43" s="2">
        <f t="shared" si="5"/>
        <v>247.29457571787839</v>
      </c>
      <c r="S43">
        <v>5.4583967052746603E-2</v>
      </c>
      <c r="T43">
        <v>217.64047609797001</v>
      </c>
      <c r="U43" s="2">
        <f t="shared" si="6"/>
        <v>238.01451891729005</v>
      </c>
      <c r="V43">
        <v>4.3223305328427997E-2</v>
      </c>
      <c r="W43">
        <v>209.78387508591001</v>
      </c>
      <c r="X43" s="2">
        <f t="shared" si="7"/>
        <v>229.42243557076773</v>
      </c>
      <c r="Y43">
        <v>0.111230643675855</v>
      </c>
      <c r="Z43">
        <v>3797.2824802760301</v>
      </c>
      <c r="AA43" s="2">
        <f t="shared" si="8"/>
        <v>4152.7586179746613</v>
      </c>
      <c r="AB43">
        <v>2.2133119822196099E-2</v>
      </c>
      <c r="AC43">
        <v>4839.9772158892802</v>
      </c>
      <c r="AD43" s="2">
        <f t="shared" si="9"/>
        <v>5293.0634469480319</v>
      </c>
      <c r="AE43">
        <v>2.2219347442751902E-2</v>
      </c>
      <c r="AF43">
        <v>5446.5356657215798</v>
      </c>
      <c r="AG43" s="2"/>
    </row>
    <row r="44" spans="1:33" x14ac:dyDescent="0.3">
      <c r="A44">
        <v>2.9730707872130901E-2</v>
      </c>
      <c r="B44" s="1">
        <v>25.753960603137902</v>
      </c>
      <c r="C44" s="2">
        <f t="shared" si="0"/>
        <v>28.164873800457023</v>
      </c>
      <c r="D44">
        <v>0.19839196146483001</v>
      </c>
      <c r="E44" s="1">
        <v>118.386873253012</v>
      </c>
      <c r="F44" s="2">
        <f t="shared" si="1"/>
        <v>129.4694589381146</v>
      </c>
      <c r="G44">
        <v>0.18554858186135101</v>
      </c>
      <c r="H44">
        <v>146.78895036144499</v>
      </c>
      <c r="I44" s="2">
        <f t="shared" si="2"/>
        <v>160.53034816430991</v>
      </c>
      <c r="J44">
        <v>0.157502673031506</v>
      </c>
      <c r="K44">
        <v>195.17359588124199</v>
      </c>
      <c r="L44" s="2">
        <f t="shared" si="3"/>
        <v>213.44443994011593</v>
      </c>
      <c r="M44">
        <v>0.138572319769805</v>
      </c>
      <c r="N44">
        <v>237.283939767569</v>
      </c>
      <c r="O44" s="2">
        <f t="shared" si="4"/>
        <v>259.4968720117771</v>
      </c>
      <c r="P44">
        <v>9.1148261682897594E-2</v>
      </c>
      <c r="Q44">
        <v>232.123977241679</v>
      </c>
      <c r="R44" s="2">
        <f t="shared" si="5"/>
        <v>253.85386837453959</v>
      </c>
      <c r="S44">
        <v>6.02036768703249E-2</v>
      </c>
      <c r="T44">
        <v>226.65801458459899</v>
      </c>
      <c r="U44" s="2">
        <f t="shared" si="6"/>
        <v>247.87621892453959</v>
      </c>
      <c r="V44">
        <v>4.7693941764493798E-2</v>
      </c>
      <c r="W44">
        <v>217.330743610643</v>
      </c>
      <c r="X44" s="2">
        <f t="shared" si="7"/>
        <v>237.675791350222</v>
      </c>
      <c r="Y44">
        <v>0.123525808577561</v>
      </c>
      <c r="Z44">
        <v>3797.2824816255602</v>
      </c>
      <c r="AA44" s="2">
        <f t="shared" si="8"/>
        <v>4152.7586194505247</v>
      </c>
      <c r="AB44">
        <v>2.6722594975709401E-2</v>
      </c>
      <c r="AC44">
        <v>4951.1016073047604</v>
      </c>
      <c r="AD44" s="2">
        <f t="shared" si="9"/>
        <v>5414.5905591696855</v>
      </c>
      <c r="AE44">
        <v>2.1503038594459099E-2</v>
      </c>
      <c r="AF44">
        <v>5411.7678853449397</v>
      </c>
      <c r="AG44" s="2"/>
    </row>
    <row r="45" spans="1:33" x14ac:dyDescent="0.3">
      <c r="A45">
        <v>3.2065140108356698E-2</v>
      </c>
      <c r="B45" s="1">
        <v>25.754205308621</v>
      </c>
      <c r="C45" s="2">
        <f t="shared" si="0"/>
        <v>28.165141413627516</v>
      </c>
      <c r="D45">
        <v>0.21529937758904599</v>
      </c>
      <c r="E45" s="1">
        <v>118.386873253012</v>
      </c>
      <c r="F45" s="2">
        <f t="shared" si="1"/>
        <v>129.4694589381146</v>
      </c>
      <c r="G45">
        <v>0.201486623863882</v>
      </c>
      <c r="H45">
        <v>146.78895036144499</v>
      </c>
      <c r="I45" s="2">
        <f t="shared" si="2"/>
        <v>160.53034816430991</v>
      </c>
      <c r="J45">
        <v>0.171281801812006</v>
      </c>
      <c r="K45">
        <v>202.198315022809</v>
      </c>
      <c r="L45" s="2">
        <f t="shared" si="3"/>
        <v>221.12676621042104</v>
      </c>
      <c r="M45">
        <v>0.136518835142349</v>
      </c>
      <c r="N45">
        <v>235.94497280376001</v>
      </c>
      <c r="O45" s="2">
        <f t="shared" si="4"/>
        <v>258.03255993412074</v>
      </c>
      <c r="P45">
        <v>9.9745236882488694E-2</v>
      </c>
      <c r="Q45">
        <v>238.429424704703</v>
      </c>
      <c r="R45" s="2">
        <f t="shared" si="5"/>
        <v>260.74958957207241</v>
      </c>
      <c r="S45">
        <v>6.6136455116075493E-2</v>
      </c>
      <c r="T45">
        <v>236.177911145157</v>
      </c>
      <c r="U45" s="2">
        <f t="shared" si="6"/>
        <v>258.28730440196523</v>
      </c>
      <c r="V45">
        <v>5.2407356965181798E-2</v>
      </c>
      <c r="W45">
        <v>225.287446270495</v>
      </c>
      <c r="X45" s="2">
        <f t="shared" si="7"/>
        <v>246.37734718995517</v>
      </c>
      <c r="Y45">
        <v>0.13632653848242601</v>
      </c>
      <c r="Z45">
        <v>3797.2824817405099</v>
      </c>
      <c r="AA45" s="2">
        <f t="shared" si="8"/>
        <v>4152.758619576236</v>
      </c>
      <c r="AB45">
        <v>3.1751571206346002E-2</v>
      </c>
      <c r="AC45">
        <v>5004.5861521567003</v>
      </c>
      <c r="AD45" s="2">
        <f t="shared" si="9"/>
        <v>5473.0819686753066</v>
      </c>
      <c r="AE45">
        <v>2.0381976917378902E-2</v>
      </c>
      <c r="AF45">
        <v>5348.9380620956799</v>
      </c>
      <c r="AG45" s="2"/>
    </row>
    <row r="47" spans="1:33" x14ac:dyDescent="0.3">
      <c r="G47" s="1"/>
      <c r="H47" s="1"/>
      <c r="I47" s="1"/>
      <c r="J47" s="2"/>
    </row>
    <row r="48" spans="1:33" x14ac:dyDescent="0.3">
      <c r="H48" s="1"/>
      <c r="I48" s="1"/>
      <c r="J48" s="2"/>
    </row>
    <row r="49" spans="8:10" x14ac:dyDescent="0.3">
      <c r="H49" s="1"/>
      <c r="I49" s="1"/>
      <c r="J49" s="2"/>
    </row>
    <row r="50" spans="8:10" x14ac:dyDescent="0.3">
      <c r="H50" s="1"/>
      <c r="I50" s="1"/>
      <c r="J50" s="2"/>
    </row>
    <row r="51" spans="8:10" x14ac:dyDescent="0.3">
      <c r="H51" s="1"/>
      <c r="I51" s="1"/>
      <c r="J51" s="2"/>
    </row>
    <row r="52" spans="8:10" x14ac:dyDescent="0.3">
      <c r="H52" s="1"/>
      <c r="I52" s="1"/>
      <c r="J52" s="2"/>
    </row>
    <row r="53" spans="8:10" x14ac:dyDescent="0.3">
      <c r="H53" s="1"/>
      <c r="I53" s="1"/>
      <c r="J53" s="2"/>
    </row>
    <row r="54" spans="8:10" x14ac:dyDescent="0.3">
      <c r="H54" s="1"/>
      <c r="I54" s="1"/>
      <c r="J54" s="2"/>
    </row>
    <row r="55" spans="8:10" x14ac:dyDescent="0.3">
      <c r="H55" s="1"/>
      <c r="I55" s="1"/>
      <c r="J55" s="2"/>
    </row>
    <row r="56" spans="8:10" x14ac:dyDescent="0.3">
      <c r="H56" s="1"/>
      <c r="I56" s="1"/>
      <c r="J56" s="2"/>
    </row>
    <row r="57" spans="8:10" x14ac:dyDescent="0.3">
      <c r="H57" s="1"/>
      <c r="I57" s="1"/>
      <c r="J57" s="2"/>
    </row>
    <row r="58" spans="8:10" x14ac:dyDescent="0.3">
      <c r="H58" s="1"/>
      <c r="I58" s="1"/>
      <c r="J58" s="2"/>
    </row>
    <row r="59" spans="8:10" x14ac:dyDescent="0.3">
      <c r="H59" s="1"/>
      <c r="I59" s="1"/>
      <c r="J59" s="2"/>
    </row>
    <row r="60" spans="8:10" x14ac:dyDescent="0.3">
      <c r="H60" s="1"/>
      <c r="I60" s="1"/>
      <c r="J60" s="2"/>
    </row>
    <row r="61" spans="8:10" x14ac:dyDescent="0.3">
      <c r="H61" s="1"/>
      <c r="I61" s="1"/>
      <c r="J61" s="2"/>
    </row>
    <row r="62" spans="8:10" x14ac:dyDescent="0.3">
      <c r="H62" s="1"/>
      <c r="I62" s="1"/>
      <c r="J62" s="2"/>
    </row>
    <row r="63" spans="8:10" x14ac:dyDescent="0.3">
      <c r="H63" s="1"/>
      <c r="I63" s="1"/>
      <c r="J63" s="2"/>
    </row>
    <row r="64" spans="8:10" x14ac:dyDescent="0.3">
      <c r="H64" s="1"/>
      <c r="I64" s="1"/>
      <c r="J64" s="2"/>
    </row>
    <row r="65" spans="8:10" x14ac:dyDescent="0.3">
      <c r="H65" s="1"/>
      <c r="I65" s="1"/>
      <c r="J65" s="2"/>
    </row>
    <row r="66" spans="8:10" x14ac:dyDescent="0.3">
      <c r="H66" s="1"/>
      <c r="J66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Excel-mal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4E98FD47-5E31-4B4B-836F-14AA17DBA37D}">
  <ds:schemaRefs/>
</ds:datastoreItem>
</file>

<file path=customXml/itemProps2.xml><?xml version="1.0" encoding="utf-8"?>
<ds:datastoreItem xmlns:ds="http://schemas.openxmlformats.org/officeDocument/2006/customXml" ds:itemID="{9AA1FF10-8034-437A-93E1-78CCBF8CA1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LC06_ALS</vt:lpstr>
      <vt:lpstr>Sheet1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2025-09-01T13:20:05Z</dcterms:created>
  <dcterms:modified xsi:type="dcterms:W3CDTF">2026-03-06T09:12:22Z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multiconsult</vt:lpwstr>
  </property>
  <property fmtid="{D5CDD505-2E9C-101B-9397-08002B2CF9AE}" pid="3" name="TemplafyTemplateId">
    <vt:lpwstr>939898145516290330</vt:lpwstr>
  </property>
  <property fmtid="{D5CDD505-2E9C-101B-9397-08002B2CF9AE}" pid="4" name="TemplafyUserProfileId">
    <vt:lpwstr>1264900811767940117</vt:lpwstr>
  </property>
  <property fmtid="{D5CDD505-2E9C-101B-9397-08002B2CF9AE}" pid="5" name="TemplafyFromBlank">
    <vt:bool>true</vt:bool>
  </property>
</Properties>
</file>