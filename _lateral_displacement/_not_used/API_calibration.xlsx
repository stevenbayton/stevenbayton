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/>
  <xr:revisionPtr revIDLastSave="471" documentId="8_{CAB2DE20-C297-4F44-B452-6E8209EF3839}" xr6:coauthVersionLast="47" xr6:coauthVersionMax="47" xr10:uidLastSave="{4595BBE7-5CD0-4758-91C4-818DA273BEEB}"/>
  <bookViews>
    <workbookView xWindow="53843" yWindow="-10255" windowWidth="29564" windowHeight="14074" xr2:uid="{00000000-000D-0000-FFFF-FFFF00000000}"/>
  </bookViews>
  <sheets>
    <sheet name="API_sand" sheetId="1" r:id="rId1"/>
    <sheet name="API_stiff_cla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6" i="1" l="1"/>
  <c r="D46" i="1" s="1"/>
  <c r="C47" i="1"/>
  <c r="D47" i="1" s="1"/>
  <c r="C48" i="1"/>
  <c r="D48" i="1" s="1"/>
  <c r="C49" i="1"/>
  <c r="D49" i="1" s="1"/>
  <c r="C45" i="1"/>
  <c r="E45" i="1"/>
  <c r="E44" i="1"/>
  <c r="D33" i="1"/>
  <c r="D32" i="1"/>
  <c r="D34" i="1"/>
  <c r="D35" i="1"/>
  <c r="D36" i="1"/>
  <c r="D37" i="1"/>
  <c r="D38" i="1"/>
  <c r="D39" i="1"/>
  <c r="D40" i="1"/>
  <c r="D41" i="1"/>
  <c r="D42" i="1"/>
  <c r="D43" i="1"/>
  <c r="D44" i="1"/>
  <c r="D31" i="1"/>
  <c r="C47" i="2" l="1"/>
  <c r="C44" i="2"/>
  <c r="C41" i="2"/>
  <c r="C9" i="2"/>
  <c r="C10" i="2"/>
  <c r="C11" i="2"/>
  <c r="C12" i="2"/>
  <c r="C13" i="2"/>
  <c r="C14" i="2"/>
  <c r="C15" i="2"/>
  <c r="C16" i="2"/>
  <c r="C8" i="2"/>
  <c r="C9" i="1" l="1"/>
  <c r="D9" i="1"/>
  <c r="C10" i="1"/>
  <c r="D10" i="1"/>
  <c r="C11" i="1"/>
  <c r="D11" i="1"/>
  <c r="C12" i="1"/>
  <c r="D12" i="1"/>
  <c r="C13" i="1"/>
  <c r="D13" i="1"/>
  <c r="C14" i="1"/>
  <c r="D14" i="1"/>
  <c r="D8" i="1"/>
  <c r="C8" i="1"/>
  <c r="E8" i="1"/>
  <c r="E9" i="1"/>
  <c r="E10" i="1"/>
  <c r="E11" i="1"/>
  <c r="E12" i="1"/>
  <c r="E13" i="1"/>
  <c r="E14" i="1"/>
  <c r="D45" i="1"/>
</calcChain>
</file>

<file path=xl/sharedStrings.xml><?xml version="1.0" encoding="utf-8"?>
<sst xmlns="http://schemas.openxmlformats.org/spreadsheetml/2006/main" count="29" uniqueCount="18">
  <si>
    <t>C1</t>
  </si>
  <si>
    <t>C2</t>
  </si>
  <si>
    <t>C3</t>
  </si>
  <si>
    <t>a</t>
  </si>
  <si>
    <t>b</t>
  </si>
  <si>
    <t>c</t>
  </si>
  <si>
    <t>d</t>
  </si>
  <si>
    <t>phi_calc</t>
  </si>
  <si>
    <t>phi_points</t>
  </si>
  <si>
    <t>k</t>
  </si>
  <si>
    <t>A_calc</t>
  </si>
  <si>
    <t>A_points</t>
  </si>
  <si>
    <t>e</t>
  </si>
  <si>
    <t>su</t>
  </si>
  <si>
    <t>z/b</t>
  </si>
  <si>
    <t>k_points (lb/in3)</t>
  </si>
  <si>
    <t>k_points (MN/m3)</t>
  </si>
  <si>
    <t>phi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</si>
</sst>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E+00"/>
    <numFmt numFmtId="165" formatCode="0.0"/>
  </numFmts>
  <fonts count="5" x14ac:knownFonts="1">
    <font>
      <sz val="11"/>
      <color theme="1"/>
      <name val="Aptos Narrow"/>
      <family val="2"/>
      <scheme val="minor"/>
    </font>
    <font>
      <sz val="9"/>
      <color rgb="FFCCCCCC"/>
      <name val="Consolas"/>
      <family val="3"/>
    </font>
    <font>
      <sz val="8"/>
      <color rgb="FF404040"/>
      <name val="Consolas"/>
      <family val="3"/>
    </font>
    <font>
      <sz val="8"/>
      <color rgb="FF208050"/>
      <name val="Consolas"/>
      <family val="3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2" fontId="0" fillId="0" borderId="0" xfId="0" applyNumberFormat="1"/>
    <xf numFmtId="164" fontId="0" fillId="0" borderId="0" xfId="0" applyNumberFormat="1"/>
    <xf numFmtId="0" fontId="3" fillId="0" borderId="0" xfId="0" applyFont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165" fontId="0" fillId="0" borderId="0" xfId="0" applyNumberFormat="1"/>
    <xf numFmtId="11" fontId="0" fillId="0" borderId="0" xfId="0" applyNumberFormat="1"/>
    <xf numFmtId="165" fontId="4" fillId="0" borderId="0" xfId="0" applyNumberFormat="1" applyFont="1"/>
    <xf numFmtId="0" fontId="4" fillId="0" borderId="0" xfId="0" applyFont="1"/>
    <xf numFmtId="0" fontId="0" fillId="0" borderId="1" xfId="0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14F2F"/>
      <color rgb="FF82B589"/>
      <color rgb="FF8EB1C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9779640581920285E-2"/>
          <c:y val="2.0600020837089519E-2"/>
          <c:w val="0.91802551727832393"/>
          <c:h val="0.94593561339338239"/>
        </c:manualLayout>
      </c:layout>
      <c:scatterChart>
        <c:scatterStyle val="lineMarker"/>
        <c:varyColors val="0"/>
        <c:ser>
          <c:idx val="0"/>
          <c:order val="0"/>
          <c:spPr>
            <a:ln w="41275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API_sand!$B$8:$B$14</c:f>
              <c:numCache>
                <c:formatCode>General</c:formatCode>
                <c:ptCount val="7"/>
                <c:pt idx="0">
                  <c:v>30</c:v>
                </c:pt>
                <c:pt idx="1">
                  <c:v>32</c:v>
                </c:pt>
                <c:pt idx="2">
                  <c:v>34</c:v>
                </c:pt>
                <c:pt idx="3">
                  <c:v>36</c:v>
                </c:pt>
                <c:pt idx="4">
                  <c:v>38</c:v>
                </c:pt>
                <c:pt idx="5">
                  <c:v>40</c:v>
                </c:pt>
                <c:pt idx="6">
                  <c:v>42</c:v>
                </c:pt>
              </c:numCache>
            </c:numRef>
          </c:xVal>
          <c:yVal>
            <c:numRef>
              <c:f>API_sand!$C$8:$C$14</c:f>
              <c:numCache>
                <c:formatCode>0.00</c:formatCode>
                <c:ptCount val="7"/>
                <c:pt idx="0">
                  <c:v>2.0436000000000014</c:v>
                </c:pt>
                <c:pt idx="1">
                  <c:v>2.4111504000000004</c:v>
                </c:pt>
                <c:pt idx="2">
                  <c:v>2.8480512000000004</c:v>
                </c:pt>
                <c:pt idx="3">
                  <c:v>3.3712368000000019</c:v>
                </c:pt>
                <c:pt idx="4">
                  <c:v>3.9976415999999979</c:v>
                </c:pt>
                <c:pt idx="5">
                  <c:v>4.7441999999999993</c:v>
                </c:pt>
                <c:pt idx="6">
                  <c:v>5.6278463999999957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58-460B-95AC-6B8136CF5F56}"/>
            </c:ext>
          </c:extLst>
        </c:ser>
        <c:ser>
          <c:idx val="2"/>
          <c:order val="1"/>
          <c:spPr>
            <a:ln w="19050" cap="rnd">
              <a:noFill/>
              <a:round/>
            </a:ln>
            <a:effectLst/>
          </c:spPr>
          <c:marker>
            <c:symbol val="diamond"/>
            <c:size val="13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poly"/>
            <c:order val="3"/>
            <c:dispRSqr val="0"/>
            <c:dispEq val="1"/>
            <c:trendlineLbl>
              <c:layout>
                <c:manualLayout>
                  <c:x val="-0.20990079860635225"/>
                  <c:y val="0.14036824252874924"/>
                </c:manualLayout>
              </c:layout>
              <c:numFmt formatCode="0.000E+00" sourceLinked="0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600" b="0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nb-NO"/>
                </a:p>
              </c:txPr>
            </c:trendlineLbl>
          </c:trendline>
          <c:xVal>
            <c:numRef>
              <c:f>API_sand!$B$17:$B$23</c:f>
              <c:numCache>
                <c:formatCode>General</c:formatCode>
                <c:ptCount val="7"/>
                <c:pt idx="0">
                  <c:v>30</c:v>
                </c:pt>
                <c:pt idx="1">
                  <c:v>32</c:v>
                </c:pt>
                <c:pt idx="2">
                  <c:v>34</c:v>
                </c:pt>
                <c:pt idx="3">
                  <c:v>36</c:v>
                </c:pt>
                <c:pt idx="4">
                  <c:v>38</c:v>
                </c:pt>
                <c:pt idx="5">
                  <c:v>40</c:v>
                </c:pt>
                <c:pt idx="6">
                  <c:v>42</c:v>
                </c:pt>
              </c:numCache>
            </c:numRef>
          </c:xVal>
          <c:yVal>
            <c:numRef>
              <c:f>API_sand!$C$17:$C$23</c:f>
              <c:numCache>
                <c:formatCode>0.00</c:formatCode>
                <c:ptCount val="7"/>
                <c:pt idx="0">
                  <c:v>2.0434000000000005</c:v>
                </c:pt>
                <c:pt idx="1">
                  <c:v>2.4150176000000001</c:v>
                </c:pt>
                <c:pt idx="2">
                  <c:v>2.85</c:v>
                </c:pt>
                <c:pt idx="3">
                  <c:v>3.37</c:v>
                </c:pt>
                <c:pt idx="4">
                  <c:v>4</c:v>
                </c:pt>
                <c:pt idx="5">
                  <c:v>4.75</c:v>
                </c:pt>
                <c:pt idx="6">
                  <c:v>5.63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D58-460B-95AC-6B8136CF5F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4599375"/>
        <c:axId val="1554596975"/>
      </c:scatterChart>
      <c:valAx>
        <c:axId val="1554599375"/>
        <c:scaling>
          <c:orientation val="minMax"/>
          <c:max val="42"/>
          <c:min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554596975"/>
        <c:crosses val="autoZero"/>
        <c:crossBetween val="midCat"/>
      </c:valAx>
      <c:valAx>
        <c:axId val="1554596975"/>
        <c:scaling>
          <c:orientation val="minMax"/>
          <c:max val="6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554599375"/>
        <c:crosses val="autoZero"/>
        <c:crossBetween val="midCat"/>
      </c:valAx>
      <c:spPr>
        <a:blipFill>
          <a:blip xmlns:r="http://schemas.openxmlformats.org/officeDocument/2006/relationships" r:embed="rId3"/>
          <a:stretch>
            <a:fillRect/>
          </a:stretch>
        </a:blip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9779640581920285E-2"/>
          <c:y val="2.0600020837089519E-2"/>
          <c:w val="0.91802551727832393"/>
          <c:h val="0.94593561339338239"/>
        </c:manualLayout>
      </c:layout>
      <c:scatterChart>
        <c:scatterStyle val="lineMarker"/>
        <c:varyColors val="0"/>
        <c:ser>
          <c:idx val="0"/>
          <c:order val="0"/>
          <c:spPr>
            <a:ln w="41275" cap="rnd">
              <a:solidFill>
                <a:srgbClr val="00B0F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API_sand!$B$8:$B$14</c:f>
              <c:numCache>
                <c:formatCode>General</c:formatCode>
                <c:ptCount val="7"/>
                <c:pt idx="0">
                  <c:v>30</c:v>
                </c:pt>
                <c:pt idx="1">
                  <c:v>32</c:v>
                </c:pt>
                <c:pt idx="2">
                  <c:v>34</c:v>
                </c:pt>
                <c:pt idx="3">
                  <c:v>36</c:v>
                </c:pt>
                <c:pt idx="4">
                  <c:v>38</c:v>
                </c:pt>
                <c:pt idx="5">
                  <c:v>40</c:v>
                </c:pt>
                <c:pt idx="6">
                  <c:v>42</c:v>
                </c:pt>
              </c:numCache>
            </c:numRef>
          </c:xVal>
          <c:yVal>
            <c:numRef>
              <c:f>API_sand!$D$8:$D$14</c:f>
              <c:numCache>
                <c:formatCode>0.00</c:formatCode>
                <c:ptCount val="7"/>
                <c:pt idx="0">
                  <c:v>2.6896000000000004</c:v>
                </c:pt>
                <c:pt idx="1">
                  <c:v>2.9783184000000009</c:v>
                </c:pt>
                <c:pt idx="2">
                  <c:v>3.2846752000000015</c:v>
                </c:pt>
                <c:pt idx="3">
                  <c:v>3.6153328000000009</c:v>
                </c:pt>
                <c:pt idx="4">
                  <c:v>3.9769536000000016</c:v>
                </c:pt>
                <c:pt idx="5">
                  <c:v>4.3762000000000025</c:v>
                </c:pt>
                <c:pt idx="6">
                  <c:v>4.8197344000000015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58-460B-95AC-6B8136CF5F56}"/>
            </c:ext>
          </c:extLst>
        </c:ser>
        <c:ser>
          <c:idx val="2"/>
          <c:order val="1"/>
          <c:spPr>
            <a:ln w="19050" cap="rnd">
              <a:noFill/>
              <a:round/>
            </a:ln>
            <a:effectLst/>
          </c:spPr>
          <c:marker>
            <c:symbol val="diamond"/>
            <c:size val="13"/>
            <c:spPr>
              <a:solidFill>
                <a:srgbClr val="00B0F0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poly"/>
            <c:order val="3"/>
            <c:dispRSqr val="0"/>
            <c:dispEq val="1"/>
            <c:trendlineLbl>
              <c:layout>
                <c:manualLayout>
                  <c:x val="-0.21147338315086001"/>
                  <c:y val="3.2878930895102694E-2"/>
                </c:manualLayout>
              </c:layout>
              <c:numFmt formatCode="0.000E+00" sourceLinked="0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600" b="0" i="0" u="none" strike="noStrike" kern="1200" baseline="0">
                      <a:solidFill>
                        <a:srgbClr val="00B0F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nb-NO"/>
                </a:p>
              </c:txPr>
            </c:trendlineLbl>
          </c:trendline>
          <c:xVal>
            <c:numRef>
              <c:f>API_sand!$B$17:$B$23</c:f>
              <c:numCache>
                <c:formatCode>General</c:formatCode>
                <c:ptCount val="7"/>
                <c:pt idx="0">
                  <c:v>30</c:v>
                </c:pt>
                <c:pt idx="1">
                  <c:v>32</c:v>
                </c:pt>
                <c:pt idx="2">
                  <c:v>34</c:v>
                </c:pt>
                <c:pt idx="3">
                  <c:v>36</c:v>
                </c:pt>
                <c:pt idx="4">
                  <c:v>38</c:v>
                </c:pt>
                <c:pt idx="5">
                  <c:v>40</c:v>
                </c:pt>
                <c:pt idx="6">
                  <c:v>42</c:v>
                </c:pt>
              </c:numCache>
            </c:numRef>
          </c:xVal>
          <c:yVal>
            <c:numRef>
              <c:f>API_sand!$D$17:$D$23</c:f>
              <c:numCache>
                <c:formatCode>0.00</c:formatCode>
                <c:ptCount val="7"/>
                <c:pt idx="0">
                  <c:v>2.69</c:v>
                </c:pt>
                <c:pt idx="1">
                  <c:v>2.98</c:v>
                </c:pt>
                <c:pt idx="2">
                  <c:v>3.29</c:v>
                </c:pt>
                <c:pt idx="3">
                  <c:v>3.61</c:v>
                </c:pt>
                <c:pt idx="4">
                  <c:v>3.9800359200000002</c:v>
                </c:pt>
                <c:pt idx="5">
                  <c:v>4.38</c:v>
                </c:pt>
                <c:pt idx="6">
                  <c:v>4.82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D58-460B-95AC-6B8136CF5F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4599375"/>
        <c:axId val="1554596975"/>
      </c:scatterChart>
      <c:valAx>
        <c:axId val="1554599375"/>
        <c:scaling>
          <c:orientation val="minMax"/>
          <c:max val="42"/>
          <c:min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554596975"/>
        <c:crosses val="autoZero"/>
        <c:crossBetween val="midCat"/>
      </c:valAx>
      <c:valAx>
        <c:axId val="1554596975"/>
        <c:scaling>
          <c:orientation val="minMax"/>
          <c:max val="6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554599375"/>
        <c:crosses val="autoZero"/>
        <c:crossBetween val="midCat"/>
      </c:valAx>
      <c:spPr>
        <a:blipFill>
          <a:blip xmlns:r="http://schemas.openxmlformats.org/officeDocument/2006/relationships" r:embed="rId3"/>
          <a:stretch>
            <a:fillRect/>
          </a:stretch>
        </a:blip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9779640581920285E-2"/>
          <c:y val="2.0600020837089519E-2"/>
          <c:w val="0.91802551727832393"/>
          <c:h val="0.94593561339338239"/>
        </c:manualLayout>
      </c:layout>
      <c:scatterChart>
        <c:scatterStyle val="lineMarker"/>
        <c:varyColors val="0"/>
        <c:ser>
          <c:idx val="0"/>
          <c:order val="0"/>
          <c:spPr>
            <a:ln w="41275" cap="rnd">
              <a:solidFill>
                <a:srgbClr val="00B05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API_sand!$B$8:$B$14</c:f>
              <c:numCache>
                <c:formatCode>General</c:formatCode>
                <c:ptCount val="7"/>
                <c:pt idx="0">
                  <c:v>30</c:v>
                </c:pt>
                <c:pt idx="1">
                  <c:v>32</c:v>
                </c:pt>
                <c:pt idx="2">
                  <c:v>34</c:v>
                </c:pt>
                <c:pt idx="3">
                  <c:v>36</c:v>
                </c:pt>
                <c:pt idx="4">
                  <c:v>38</c:v>
                </c:pt>
                <c:pt idx="5">
                  <c:v>40</c:v>
                </c:pt>
                <c:pt idx="6">
                  <c:v>42</c:v>
                </c:pt>
              </c:numCache>
            </c:numRef>
          </c:xVal>
          <c:yVal>
            <c:numRef>
              <c:f>API_sand!$E$8:$E$14</c:f>
              <c:numCache>
                <c:formatCode>0.00</c:formatCode>
                <c:ptCount val="7"/>
                <c:pt idx="0">
                  <c:v>29.199999999999704</c:v>
                </c:pt>
                <c:pt idx="1">
                  <c:v>37.481599999999958</c:v>
                </c:pt>
                <c:pt idx="2">
                  <c:v>47.700799999999731</c:v>
                </c:pt>
                <c:pt idx="3">
                  <c:v>61.259199999999851</c:v>
                </c:pt>
                <c:pt idx="4">
                  <c:v>79.558399999999779</c:v>
                </c:pt>
                <c:pt idx="5">
                  <c:v>103.99999999999943</c:v>
                </c:pt>
                <c:pt idx="6">
                  <c:v>135.98559999999941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58-460B-95AC-6B8136CF5F56}"/>
            </c:ext>
          </c:extLst>
        </c:ser>
        <c:ser>
          <c:idx val="2"/>
          <c:order val="1"/>
          <c:spPr>
            <a:ln w="19050" cap="rnd">
              <a:noFill/>
              <a:round/>
            </a:ln>
            <a:effectLst/>
          </c:spPr>
          <c:marker>
            <c:symbol val="diamond"/>
            <c:size val="13"/>
            <c:spPr>
              <a:solidFill>
                <a:srgbClr val="00B050"/>
              </a:solidFill>
              <a:ln w="9525">
                <a:noFill/>
              </a:ln>
              <a:effectLst/>
            </c:spPr>
          </c:marker>
          <c:trendline>
            <c:spPr>
              <a:ln w="41275" cap="rnd">
                <a:solidFill>
                  <a:srgbClr val="00B050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1"/>
            <c:trendlineLbl>
              <c:layout>
                <c:manualLayout>
                  <c:x val="-0.21147338315086001"/>
                  <c:y val="3.2878930895102694E-2"/>
                </c:manualLayout>
              </c:layout>
              <c:numFmt formatCode="0.000E+00" sourceLinked="0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600" b="0" i="0" u="none" strike="noStrike" kern="1200" baseline="0">
                      <a:solidFill>
                        <a:srgbClr val="00B05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nb-NO"/>
                </a:p>
              </c:txPr>
            </c:trendlineLbl>
          </c:trendline>
          <c:xVal>
            <c:numRef>
              <c:f>API_sand!$B$17:$B$23</c:f>
              <c:numCache>
                <c:formatCode>General</c:formatCode>
                <c:ptCount val="7"/>
                <c:pt idx="0">
                  <c:v>30</c:v>
                </c:pt>
                <c:pt idx="1">
                  <c:v>32</c:v>
                </c:pt>
                <c:pt idx="2">
                  <c:v>34</c:v>
                </c:pt>
                <c:pt idx="3">
                  <c:v>36</c:v>
                </c:pt>
                <c:pt idx="4">
                  <c:v>38</c:v>
                </c:pt>
                <c:pt idx="5">
                  <c:v>40</c:v>
                </c:pt>
                <c:pt idx="6">
                  <c:v>42</c:v>
                </c:pt>
              </c:numCache>
            </c:numRef>
          </c:xVal>
          <c:yVal>
            <c:numRef>
              <c:f>API_sand!$E$17:$E$23</c:f>
              <c:numCache>
                <c:formatCode>0.00</c:formatCode>
                <c:ptCount val="7"/>
                <c:pt idx="0">
                  <c:v>29.55</c:v>
                </c:pt>
                <c:pt idx="1">
                  <c:v>37.5</c:v>
                </c:pt>
                <c:pt idx="2">
                  <c:v>47.96</c:v>
                </c:pt>
                <c:pt idx="3">
                  <c:v>61.8</c:v>
                </c:pt>
                <c:pt idx="4">
                  <c:v>80</c:v>
                </c:pt>
                <c:pt idx="5">
                  <c:v>104</c:v>
                </c:pt>
                <c:pt idx="6">
                  <c:v>136.5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D58-460B-95AC-6B8136CF5F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4599375"/>
        <c:axId val="1554596975"/>
      </c:scatterChart>
      <c:valAx>
        <c:axId val="1554599375"/>
        <c:scaling>
          <c:orientation val="minMax"/>
          <c:max val="42"/>
          <c:min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554596975"/>
        <c:crosses val="autoZero"/>
        <c:crossBetween val="midCat"/>
      </c:valAx>
      <c:valAx>
        <c:axId val="1554596975"/>
        <c:scaling>
          <c:orientation val="minMax"/>
          <c:max val="16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554599375"/>
        <c:crosses val="autoZero"/>
        <c:crossBetween val="midCat"/>
      </c:valAx>
      <c:spPr>
        <a:blipFill>
          <a:blip xmlns:r="http://schemas.openxmlformats.org/officeDocument/2006/relationships" r:embed="rId3"/>
          <a:stretch>
            <a:fillRect/>
          </a:stretch>
        </a:blip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spPr>
            <a:ln w="19050" cap="rnd">
              <a:noFill/>
              <a:round/>
            </a:ln>
            <a:effectLst/>
          </c:spPr>
          <c:marker>
            <c:symbol val="diamond"/>
            <c:size val="13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trendline>
            <c:spPr>
              <a:ln w="50800" cap="rnd">
                <a:solidFill>
                  <a:srgbClr val="FF0000"/>
                </a:solidFill>
                <a:prstDash val="sysDash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-3.2588941320268905E-2"/>
                  <c:y val="-0.17872218523478403"/>
                </c:manualLayout>
              </c:layout>
              <c:numFmt formatCode="0.000E+00" sourceLinked="0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600" b="0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nb-NO"/>
                </a:p>
              </c:txPr>
            </c:trendlineLbl>
          </c:trendline>
          <c:xVal>
            <c:numRef>
              <c:f>API_sand!$B$31:$B$34</c:f>
              <c:numCache>
                <c:formatCode>General</c:formatCode>
                <c:ptCount val="4"/>
                <c:pt idx="0">
                  <c:v>29</c:v>
                </c:pt>
                <c:pt idx="1">
                  <c:v>29.3</c:v>
                </c:pt>
                <c:pt idx="2">
                  <c:v>29.6</c:v>
                </c:pt>
                <c:pt idx="3">
                  <c:v>30</c:v>
                </c:pt>
              </c:numCache>
            </c:numRef>
          </c:xVal>
          <c:yVal>
            <c:numRef>
              <c:f>API_sand!$C$31:$C$34</c:f>
              <c:numCache>
                <c:formatCode>General</c:formatCode>
                <c:ptCount val="4"/>
                <c:pt idx="0">
                  <c:v>7</c:v>
                </c:pt>
                <c:pt idx="1">
                  <c:v>12</c:v>
                </c:pt>
                <c:pt idx="2">
                  <c:v>19</c:v>
                </c:pt>
                <c:pt idx="3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353-4F9E-9483-E3935042E0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9993039"/>
        <c:axId val="1160024239"/>
      </c:scatterChart>
      <c:valAx>
        <c:axId val="1159993039"/>
        <c:scaling>
          <c:orientation val="minMax"/>
          <c:max val="30"/>
          <c:min val="2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160024239"/>
        <c:crosses val="autoZero"/>
        <c:crossBetween val="midCat"/>
        <c:majorUnit val="0.25"/>
      </c:valAx>
      <c:valAx>
        <c:axId val="1160024239"/>
        <c:scaling>
          <c:orientation val="minMax"/>
          <c:max val="3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159993039"/>
        <c:crosses val="autoZero"/>
        <c:crossBetween val="midCat"/>
      </c:valAx>
      <c:spPr>
        <a:blipFill>
          <a:blip xmlns:r="http://schemas.openxmlformats.org/officeDocument/2006/relationships" r:embed="rId3"/>
          <a:stretch>
            <a:fillRect/>
          </a:stretch>
        </a:blip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spPr>
            <a:ln w="19050" cap="rnd">
              <a:noFill/>
              <a:round/>
            </a:ln>
            <a:effectLst/>
          </c:spPr>
          <c:marker>
            <c:symbol val="diamond"/>
            <c:size val="13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trendline>
            <c:spPr>
              <a:ln w="44450" cap="rnd">
                <a:solidFill>
                  <a:srgbClr val="FF0000"/>
                </a:solidFill>
                <a:prstDash val="sysDash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2.2547497153009462E-2"/>
                  <c:y val="-0.31853816560934939"/>
                </c:manualLayout>
              </c:layout>
              <c:numFmt formatCode="0.000E+00" sourceLinked="0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600" b="0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nb-NO"/>
                </a:p>
              </c:txPr>
            </c:trendlineLbl>
          </c:trendline>
          <c:xVal>
            <c:numRef>
              <c:f>API_sand!$B$34:$B$40</c:f>
              <c:numCache>
                <c:formatCode>General</c:formatCode>
                <c:ptCount val="7"/>
                <c:pt idx="0">
                  <c:v>30</c:v>
                </c:pt>
                <c:pt idx="1">
                  <c:v>31</c:v>
                </c:pt>
                <c:pt idx="2">
                  <c:v>32</c:v>
                </c:pt>
                <c:pt idx="3">
                  <c:v>33</c:v>
                </c:pt>
                <c:pt idx="4">
                  <c:v>34</c:v>
                </c:pt>
                <c:pt idx="5">
                  <c:v>35</c:v>
                </c:pt>
                <c:pt idx="6">
                  <c:v>36</c:v>
                </c:pt>
              </c:numCache>
            </c:numRef>
          </c:xVal>
          <c:yVal>
            <c:numRef>
              <c:f>API_sand!$C$34:$C$40</c:f>
              <c:numCache>
                <c:formatCode>General</c:formatCode>
                <c:ptCount val="7"/>
                <c:pt idx="0">
                  <c:v>31</c:v>
                </c:pt>
                <c:pt idx="1">
                  <c:v>38</c:v>
                </c:pt>
                <c:pt idx="2">
                  <c:v>48</c:v>
                </c:pt>
                <c:pt idx="3">
                  <c:v>57.5</c:v>
                </c:pt>
                <c:pt idx="4">
                  <c:v>68.5</c:v>
                </c:pt>
                <c:pt idx="5">
                  <c:v>80</c:v>
                </c:pt>
                <c:pt idx="6">
                  <c:v>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353-4F9E-9483-E3935042E0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9993039"/>
        <c:axId val="1160024239"/>
      </c:scatterChart>
      <c:valAx>
        <c:axId val="1159993039"/>
        <c:scaling>
          <c:orientation val="minMax"/>
          <c:max val="36"/>
          <c:min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160024239"/>
        <c:crosses val="autoZero"/>
        <c:crossBetween val="midCat"/>
        <c:majorUnit val="1"/>
      </c:valAx>
      <c:valAx>
        <c:axId val="1160024239"/>
        <c:scaling>
          <c:orientation val="minMax"/>
          <c:max val="3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159993039"/>
        <c:crosses val="autoZero"/>
        <c:crossBetween val="midCat"/>
      </c:valAx>
      <c:spPr>
        <a:blipFill>
          <a:blip xmlns:r="http://schemas.openxmlformats.org/officeDocument/2006/relationships" r:embed="rId3"/>
          <a:stretch>
            <a:fillRect/>
          </a:stretch>
        </a:blip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spPr>
            <a:ln w="19050" cap="rnd">
              <a:noFill/>
              <a:round/>
            </a:ln>
            <a:effectLst/>
          </c:spPr>
          <c:marker>
            <c:symbol val="diamond"/>
            <c:size val="13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trendline>
            <c:spPr>
              <a:ln w="44450" cap="rnd">
                <a:solidFill>
                  <a:srgbClr val="FF0000"/>
                </a:solidFill>
                <a:prstDash val="sysDash"/>
              </a:ln>
              <a:effectLst/>
            </c:spPr>
            <c:trendlineType val="poly"/>
            <c:order val="2"/>
            <c:forward val="10"/>
            <c:dispRSqr val="0"/>
            <c:dispEq val="1"/>
            <c:trendlineLbl>
              <c:layout>
                <c:manualLayout>
                  <c:x val="9.3307818954778771E-2"/>
                  <c:y val="-0.20592556079845756"/>
                </c:manualLayout>
              </c:layout>
              <c:numFmt formatCode="0.000E+00" sourceLinked="0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600" b="0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nb-NO"/>
                </a:p>
              </c:txPr>
            </c:trendlineLbl>
          </c:trendline>
          <c:xVal>
            <c:numRef>
              <c:f>API_sand!$B$40:$B$44</c:f>
              <c:numCache>
                <c:formatCode>General</c:formatCode>
                <c:ptCount val="5"/>
                <c:pt idx="0">
                  <c:v>36</c:v>
                </c:pt>
                <c:pt idx="1">
                  <c:v>37</c:v>
                </c:pt>
                <c:pt idx="2">
                  <c:v>38</c:v>
                </c:pt>
                <c:pt idx="3">
                  <c:v>39</c:v>
                </c:pt>
                <c:pt idx="4">
                  <c:v>40</c:v>
                </c:pt>
              </c:numCache>
            </c:numRef>
          </c:xVal>
          <c:yVal>
            <c:numRef>
              <c:f>API_sand!$C$40:$C$44</c:f>
              <c:numCache>
                <c:formatCode>General</c:formatCode>
                <c:ptCount val="5"/>
                <c:pt idx="0">
                  <c:v>92</c:v>
                </c:pt>
                <c:pt idx="1">
                  <c:v>105</c:v>
                </c:pt>
                <c:pt idx="2">
                  <c:v>121</c:v>
                </c:pt>
                <c:pt idx="3">
                  <c:v>139</c:v>
                </c:pt>
                <c:pt idx="4">
                  <c:v>157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353-4F9E-9483-E3935042E0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9993039"/>
        <c:axId val="1160024239"/>
      </c:scatterChart>
      <c:valAx>
        <c:axId val="1159993039"/>
        <c:scaling>
          <c:orientation val="minMax"/>
          <c:max val="40"/>
          <c:min val="3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160024239"/>
        <c:crosses val="autoZero"/>
        <c:crossBetween val="midCat"/>
        <c:majorUnit val="1"/>
      </c:valAx>
      <c:valAx>
        <c:axId val="1160024239"/>
        <c:scaling>
          <c:orientation val="minMax"/>
          <c:max val="3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159993039"/>
        <c:crosses val="autoZero"/>
        <c:crossBetween val="midCat"/>
      </c:valAx>
      <c:spPr>
        <a:blipFill>
          <a:blip xmlns:r="http://schemas.openxmlformats.org/officeDocument/2006/relationships" r:embed="rId3"/>
          <a:stretch>
            <a:fillRect/>
          </a:stretch>
        </a:blip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spPr>
            <a:ln w="19050" cap="rnd">
              <a:noFill/>
              <a:round/>
            </a:ln>
            <a:effectLst/>
          </c:spPr>
          <c:marker>
            <c:symbol val="diamond"/>
            <c:size val="13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trendline>
            <c:spPr>
              <a:ln w="44450" cap="rnd">
                <a:solidFill>
                  <a:srgbClr val="FF0000"/>
                </a:solidFill>
                <a:prstDash val="sysDash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API_sand!$B$40:$B$44</c:f>
              <c:numCache>
                <c:formatCode>General</c:formatCode>
                <c:ptCount val="5"/>
                <c:pt idx="0">
                  <c:v>36</c:v>
                </c:pt>
                <c:pt idx="1">
                  <c:v>37</c:v>
                </c:pt>
                <c:pt idx="2">
                  <c:v>38</c:v>
                </c:pt>
                <c:pt idx="3">
                  <c:v>39</c:v>
                </c:pt>
                <c:pt idx="4">
                  <c:v>40</c:v>
                </c:pt>
              </c:numCache>
            </c:numRef>
          </c:xVal>
          <c:yVal>
            <c:numRef>
              <c:f>API_sand!$C$40:$C$44</c:f>
              <c:numCache>
                <c:formatCode>General</c:formatCode>
                <c:ptCount val="5"/>
                <c:pt idx="0">
                  <c:v>92</c:v>
                </c:pt>
                <c:pt idx="1">
                  <c:v>105</c:v>
                </c:pt>
                <c:pt idx="2">
                  <c:v>121</c:v>
                </c:pt>
                <c:pt idx="3">
                  <c:v>139</c:v>
                </c:pt>
                <c:pt idx="4">
                  <c:v>157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353-4F9E-9483-E3935042E0DF}"/>
            </c:ext>
          </c:extLst>
        </c:ser>
        <c:ser>
          <c:idx val="0"/>
          <c:order val="1"/>
          <c:spPr>
            <a:ln w="3810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API_sand!$B$44:$B$49</c:f>
              <c:numCache>
                <c:formatCode>General</c:formatCode>
                <c:ptCount val="6"/>
                <c:pt idx="0">
                  <c:v>40</c:v>
                </c:pt>
                <c:pt idx="1">
                  <c:v>41</c:v>
                </c:pt>
                <c:pt idx="2">
                  <c:v>42</c:v>
                </c:pt>
                <c:pt idx="3">
                  <c:v>43</c:v>
                </c:pt>
                <c:pt idx="4">
                  <c:v>44</c:v>
                </c:pt>
                <c:pt idx="5">
                  <c:v>46.6</c:v>
                </c:pt>
              </c:numCache>
            </c:numRef>
          </c:xVal>
          <c:yVal>
            <c:numRef>
              <c:f>API_sand!$C$44:$C$49</c:f>
              <c:numCache>
                <c:formatCode>0.0</c:formatCode>
                <c:ptCount val="6"/>
                <c:pt idx="0" formatCode="General">
                  <c:v>157</c:v>
                </c:pt>
                <c:pt idx="1">
                  <c:v>175</c:v>
                </c:pt>
                <c:pt idx="2">
                  <c:v>193</c:v>
                </c:pt>
                <c:pt idx="3">
                  <c:v>211</c:v>
                </c:pt>
                <c:pt idx="4">
                  <c:v>211</c:v>
                </c:pt>
                <c:pt idx="5">
                  <c:v>211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D3F-4A15-A785-375D5E0FCA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9993039"/>
        <c:axId val="1160024239"/>
      </c:scatterChart>
      <c:valAx>
        <c:axId val="1159993039"/>
        <c:scaling>
          <c:orientation val="minMax"/>
          <c:max val="45"/>
          <c:min val="3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160024239"/>
        <c:crosses val="autoZero"/>
        <c:crossBetween val="midCat"/>
        <c:majorUnit val="1"/>
      </c:valAx>
      <c:valAx>
        <c:axId val="1160024239"/>
        <c:scaling>
          <c:orientation val="minMax"/>
          <c:max val="3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159993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spPr>
            <a:ln w="19050" cap="rnd">
              <a:noFill/>
              <a:round/>
            </a:ln>
            <a:effectLst/>
          </c:spPr>
          <c:marker>
            <c:symbol val="diamond"/>
            <c:size val="13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trendline>
            <c:spPr>
              <a:ln w="50800" cap="rnd">
                <a:solidFill>
                  <a:srgbClr val="FF0000"/>
                </a:solidFill>
                <a:prstDash val="sysDash"/>
              </a:ln>
              <a:effectLst/>
            </c:spPr>
            <c:trendlineType val="poly"/>
            <c:order val="2"/>
            <c:backward val="0.2"/>
            <c:dispRSqr val="0"/>
            <c:dispEq val="1"/>
            <c:trendlineLbl>
              <c:layout>
                <c:manualLayout>
                  <c:x val="-3.2588941320268905E-2"/>
                  <c:y val="-0.17872218523478403"/>
                </c:manualLayout>
              </c:layout>
              <c:numFmt formatCode="0.000E+00" sourceLinked="0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600" b="0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nb-NO"/>
                </a:p>
              </c:txPr>
            </c:trendlineLbl>
          </c:trendline>
          <c:xVal>
            <c:numRef>
              <c:f>API_sand!$B$31:$B$34</c:f>
              <c:numCache>
                <c:formatCode>General</c:formatCode>
                <c:ptCount val="4"/>
                <c:pt idx="0">
                  <c:v>29</c:v>
                </c:pt>
                <c:pt idx="1">
                  <c:v>29.3</c:v>
                </c:pt>
                <c:pt idx="2">
                  <c:v>29.6</c:v>
                </c:pt>
                <c:pt idx="3">
                  <c:v>30</c:v>
                </c:pt>
              </c:numCache>
            </c:numRef>
          </c:xVal>
          <c:yVal>
            <c:numRef>
              <c:f>API_sand!$C$31:$C$34</c:f>
              <c:numCache>
                <c:formatCode>General</c:formatCode>
                <c:ptCount val="4"/>
                <c:pt idx="0">
                  <c:v>7</c:v>
                </c:pt>
                <c:pt idx="1">
                  <c:v>12</c:v>
                </c:pt>
                <c:pt idx="2">
                  <c:v>19</c:v>
                </c:pt>
                <c:pt idx="3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353-4F9E-9483-E3935042E0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9993039"/>
        <c:axId val="1160024239"/>
      </c:scatterChart>
      <c:valAx>
        <c:axId val="1159993039"/>
        <c:scaling>
          <c:orientation val="minMax"/>
          <c:max val="30"/>
          <c:min val="28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160024239"/>
        <c:crosses val="autoZero"/>
        <c:crossBetween val="midCat"/>
      </c:valAx>
      <c:valAx>
        <c:axId val="1160024239"/>
        <c:scaling>
          <c:orientation val="minMax"/>
          <c:max val="3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159993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triangle"/>
            <c:size val="9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API_stiff_clay!$D$8:$D$16</c:f>
              <c:numCache>
                <c:formatCode>General</c:formatCode>
                <c:ptCount val="9"/>
                <c:pt idx="0">
                  <c:v>0.2</c:v>
                </c:pt>
                <c:pt idx="1">
                  <c:v>0.33</c:v>
                </c:pt>
                <c:pt idx="2">
                  <c:v>0.42</c:v>
                </c:pt>
                <c:pt idx="3">
                  <c:v>0.49</c:v>
                </c:pt>
                <c:pt idx="4">
                  <c:v>0.54</c:v>
                </c:pt>
                <c:pt idx="5">
                  <c:v>0.56999999999999995</c:v>
                </c:pt>
                <c:pt idx="6">
                  <c:v>0.58499999999999996</c:v>
                </c:pt>
                <c:pt idx="7">
                  <c:v>0.59499999999999997</c:v>
                </c:pt>
                <c:pt idx="8">
                  <c:v>0.6</c:v>
                </c:pt>
              </c:numCache>
            </c:numRef>
          </c:xVal>
          <c:yVal>
            <c:numRef>
              <c:f>API_stiff_clay!$B$8:$B$16</c:f>
              <c:numCache>
                <c:formatCode>General</c:formatCode>
                <c:ptCount val="9"/>
                <c:pt idx="0">
                  <c:v>0.01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74-4814-A847-A04AE1BAD21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triangle"/>
            <c:size val="9"/>
            <c:spPr>
              <a:solidFill>
                <a:srgbClr val="C00000"/>
              </a:solidFill>
              <a:ln w="9525">
                <a:noFill/>
              </a:ln>
              <a:effectLst/>
            </c:spPr>
          </c:marker>
          <c:xVal>
            <c:numRef>
              <c:f>API_stiff_clay!$D$16:$D$28</c:f>
              <c:numCache>
                <c:formatCode>General</c:formatCode>
                <c:ptCount val="13"/>
                <c:pt idx="0">
                  <c:v>0.6</c:v>
                </c:pt>
                <c:pt idx="1">
                  <c:v>0.6</c:v>
                </c:pt>
                <c:pt idx="2">
                  <c:v>0.6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0.6</c:v>
                </c:pt>
                <c:pt idx="8">
                  <c:v>0.6</c:v>
                </c:pt>
                <c:pt idx="9">
                  <c:v>0.6</c:v>
                </c:pt>
                <c:pt idx="10">
                  <c:v>0.6</c:v>
                </c:pt>
                <c:pt idx="11">
                  <c:v>0.6</c:v>
                </c:pt>
                <c:pt idx="12">
                  <c:v>0.6</c:v>
                </c:pt>
              </c:numCache>
            </c:numRef>
          </c:xVal>
          <c:yVal>
            <c:numRef>
              <c:f>API_stiff_clay!$B$16:$B$28</c:f>
              <c:numCache>
                <c:formatCode>General</c:formatCode>
                <c:ptCount val="13"/>
                <c:pt idx="0">
                  <c:v>4</c:v>
                </c:pt>
                <c:pt idx="1">
                  <c:v>4.5</c:v>
                </c:pt>
                <c:pt idx="2">
                  <c:v>5</c:v>
                </c:pt>
                <c:pt idx="3">
                  <c:v>5.5</c:v>
                </c:pt>
                <c:pt idx="4">
                  <c:v>6</c:v>
                </c:pt>
                <c:pt idx="5">
                  <c:v>6.5</c:v>
                </c:pt>
                <c:pt idx="6">
                  <c:v>7</c:v>
                </c:pt>
                <c:pt idx="7">
                  <c:v>7.5</c:v>
                </c:pt>
                <c:pt idx="8">
                  <c:v>8</c:v>
                </c:pt>
                <c:pt idx="9">
                  <c:v>8.5</c:v>
                </c:pt>
                <c:pt idx="10">
                  <c:v>9</c:v>
                </c:pt>
                <c:pt idx="11">
                  <c:v>9.5</c:v>
                </c:pt>
                <c:pt idx="12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574-4814-A847-A04AE1BAD216}"/>
            </c:ext>
          </c:extLst>
        </c:ser>
        <c:ser>
          <c:idx val="2"/>
          <c:order val="2"/>
          <c:spPr>
            <a:ln w="41275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API_stiff_clay!$C$8:$C$28</c:f>
              <c:numCache>
                <c:formatCode>0.00</c:formatCode>
                <c:ptCount val="21"/>
                <c:pt idx="0">
                  <c:v>0.20103224421722199</c:v>
                </c:pt>
                <c:pt idx="1">
                  <c:v>0.32672463750000003</c:v>
                </c:pt>
                <c:pt idx="2">
                  <c:v>0.42260019999999998</c:v>
                </c:pt>
                <c:pt idx="3">
                  <c:v>0.49141663749999992</c:v>
                </c:pt>
                <c:pt idx="4">
                  <c:v>0.53844720000000001</c:v>
                </c:pt>
                <c:pt idx="5">
                  <c:v>0.56854843749999995</c:v>
                </c:pt>
                <c:pt idx="6">
                  <c:v>0.58616019999999991</c:v>
                </c:pt>
                <c:pt idx="7">
                  <c:v>0.59530563749999987</c:v>
                </c:pt>
                <c:pt idx="8">
                  <c:v>0.59959119999999988</c:v>
                </c:pt>
                <c:pt idx="9">
                  <c:v>0.6</c:v>
                </c:pt>
                <c:pt idx="10">
                  <c:v>0.6</c:v>
                </c:pt>
                <c:pt idx="11">
                  <c:v>0.6</c:v>
                </c:pt>
                <c:pt idx="12">
                  <c:v>0.6</c:v>
                </c:pt>
                <c:pt idx="13">
                  <c:v>0.6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</c:numCache>
            </c:numRef>
          </c:xVal>
          <c:yVal>
            <c:numRef>
              <c:f>API_stiff_clay!$B$8:$B$28</c:f>
              <c:numCache>
                <c:formatCode>General</c:formatCode>
                <c:ptCount val="21"/>
                <c:pt idx="0">
                  <c:v>0.01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574-4814-A847-A04AE1BAD2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2261535"/>
        <c:axId val="1010149055"/>
      </c:scatterChart>
      <c:valAx>
        <c:axId val="1002261535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010149055"/>
        <c:crosses val="autoZero"/>
        <c:crossBetween val="midCat"/>
      </c:valAx>
      <c:valAx>
        <c:axId val="1010149055"/>
        <c:scaling>
          <c:orientation val="maxMin"/>
          <c:max val="1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002261535"/>
        <c:crosses val="autoZero"/>
        <c:crossBetween val="midCat"/>
      </c:valAx>
      <c:spPr>
        <a:blipFill>
          <a:blip xmlns:r="http://schemas.openxmlformats.org/officeDocument/2006/relationships" r:embed="rId3"/>
          <a:stretch>
            <a:fillRect/>
          </a:stretch>
        </a:blip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triangle"/>
            <c:size val="9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poly"/>
            <c:order val="4"/>
            <c:dispRSqr val="0"/>
            <c:dispEq val="1"/>
            <c:trendlineLbl>
              <c:layout>
                <c:manualLayout>
                  <c:x val="0.13255163533662001"/>
                  <c:y val="-6.2001960561489516E-2"/>
                </c:manualLayout>
              </c:layout>
              <c:numFmt formatCode="0.0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nb-NO"/>
                </a:p>
              </c:txPr>
            </c:trendlineLbl>
          </c:trendline>
          <c:xVal>
            <c:numRef>
              <c:f>API_stiff_clay!$B$8:$B$16</c:f>
              <c:numCache>
                <c:formatCode>General</c:formatCode>
                <c:ptCount val="9"/>
                <c:pt idx="0">
                  <c:v>0.01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</c:numCache>
            </c:numRef>
          </c:xVal>
          <c:yVal>
            <c:numRef>
              <c:f>API_stiff_clay!$D$8:$D$16</c:f>
              <c:numCache>
                <c:formatCode>General</c:formatCode>
                <c:ptCount val="9"/>
                <c:pt idx="0">
                  <c:v>0.2</c:v>
                </c:pt>
                <c:pt idx="1">
                  <c:v>0.33</c:v>
                </c:pt>
                <c:pt idx="2">
                  <c:v>0.42</c:v>
                </c:pt>
                <c:pt idx="3">
                  <c:v>0.49</c:v>
                </c:pt>
                <c:pt idx="4">
                  <c:v>0.54</c:v>
                </c:pt>
                <c:pt idx="5">
                  <c:v>0.56999999999999995</c:v>
                </c:pt>
                <c:pt idx="6">
                  <c:v>0.58499999999999996</c:v>
                </c:pt>
                <c:pt idx="7">
                  <c:v>0.59499999999999997</c:v>
                </c:pt>
                <c:pt idx="8">
                  <c:v>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74-4814-A847-A04AE1BAD2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2261535"/>
        <c:axId val="1010149055"/>
      </c:scatterChart>
      <c:valAx>
        <c:axId val="1002261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010149055"/>
        <c:crosses val="autoZero"/>
        <c:crossBetween val="midCat"/>
      </c:valAx>
      <c:valAx>
        <c:axId val="1010149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0022615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41275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API_stiff_clay!$B$40:$B$47</c:f>
              <c:numCache>
                <c:formatCode>General</c:formatCode>
                <c:ptCount val="8"/>
                <c:pt idx="0">
                  <c:v>50</c:v>
                </c:pt>
                <c:pt idx="1">
                  <c:v>100</c:v>
                </c:pt>
                <c:pt idx="3">
                  <c:v>100</c:v>
                </c:pt>
                <c:pt idx="4">
                  <c:v>200</c:v>
                </c:pt>
                <c:pt idx="6">
                  <c:v>200</c:v>
                </c:pt>
                <c:pt idx="7">
                  <c:v>400</c:v>
                </c:pt>
              </c:numCache>
            </c:numRef>
          </c:xVal>
          <c:yVal>
            <c:numRef>
              <c:f>API_stiff_clay!$C$40:$C$47</c:f>
              <c:numCache>
                <c:formatCode>General</c:formatCode>
                <c:ptCount val="8"/>
                <c:pt idx="0">
                  <c:v>130</c:v>
                </c:pt>
                <c:pt idx="1">
                  <c:v>130</c:v>
                </c:pt>
                <c:pt idx="3">
                  <c:v>270</c:v>
                </c:pt>
                <c:pt idx="4">
                  <c:v>270</c:v>
                </c:pt>
                <c:pt idx="6">
                  <c:v>540</c:v>
                </c:pt>
                <c:pt idx="7">
                  <c:v>540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49-4A4A-8E6E-86FAFC4A5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5795487"/>
        <c:axId val="1985796447"/>
      </c:scatterChart>
      <c:valAx>
        <c:axId val="1985795487"/>
        <c:scaling>
          <c:orientation val="minMax"/>
          <c:max val="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985796447"/>
        <c:crosses val="autoZero"/>
        <c:crossBetween val="midCat"/>
      </c:valAx>
      <c:valAx>
        <c:axId val="1985796447"/>
        <c:scaling>
          <c:orientation val="minMax"/>
          <c:max val="6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985795487"/>
        <c:crosses val="autoZero"/>
        <c:crossBetween val="midCat"/>
      </c:valAx>
      <c:spPr>
        <a:blipFill>
          <a:blip xmlns:r="http://schemas.openxmlformats.org/officeDocument/2006/relationships" r:embed="rId3"/>
          <a:stretch>
            <a:fillRect/>
          </a:stretch>
        </a:blip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84933</xdr:colOff>
      <xdr:row>0</xdr:row>
      <xdr:rowOff>168060</xdr:rowOff>
    </xdr:from>
    <xdr:to>
      <xdr:col>17</xdr:col>
      <xdr:colOff>274681</xdr:colOff>
      <xdr:row>43</xdr:row>
      <xdr:rowOff>101199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9E4635-7549-D0F6-9057-41222A4EDD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605384</xdr:colOff>
      <xdr:row>1</xdr:row>
      <xdr:rowOff>124688</xdr:rowOff>
    </xdr:from>
    <xdr:to>
      <xdr:col>29</xdr:col>
      <xdr:colOff>159026</xdr:colOff>
      <xdr:row>44</xdr:row>
      <xdr:rowOff>57827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3B558FF-1D15-5DCC-799D-96DA178FDC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29</xdr:col>
      <xdr:colOff>489728</xdr:colOff>
      <xdr:row>1</xdr:row>
      <xdr:rowOff>168059</xdr:rowOff>
    </xdr:from>
    <xdr:to>
      <xdr:col>41</xdr:col>
      <xdr:colOff>43372</xdr:colOff>
      <xdr:row>44</xdr:row>
      <xdr:rowOff>101198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6E1DBB0-BFB6-5FDA-D61B-B8C93A88AE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27104</xdr:colOff>
      <xdr:row>52</xdr:row>
      <xdr:rowOff>9034</xdr:rowOff>
    </xdr:from>
    <xdr:to>
      <xdr:col>10</xdr:col>
      <xdr:colOff>477078</xdr:colOff>
      <xdr:row>82</xdr:row>
      <xdr:rowOff>144569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5DC647C-F913-B885-728E-C7BCE862F3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634296</xdr:colOff>
      <xdr:row>52</xdr:row>
      <xdr:rowOff>9034</xdr:rowOff>
    </xdr:from>
    <xdr:to>
      <xdr:col>15</xdr:col>
      <xdr:colOff>448164</xdr:colOff>
      <xdr:row>82</xdr:row>
      <xdr:rowOff>144569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0A28CC3-0411-EF8A-BD68-D2E0643465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27103</xdr:colOff>
      <xdr:row>52</xdr:row>
      <xdr:rowOff>37948</xdr:rowOff>
    </xdr:from>
    <xdr:to>
      <xdr:col>20</xdr:col>
      <xdr:colOff>477077</xdr:colOff>
      <xdr:row>82</xdr:row>
      <xdr:rowOff>173483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A5DEDA26-ED24-04DE-0A56-19C461895C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21</xdr:col>
      <xdr:colOff>171672</xdr:colOff>
      <xdr:row>52</xdr:row>
      <xdr:rowOff>37948</xdr:rowOff>
    </xdr:from>
    <xdr:to>
      <xdr:col>25</xdr:col>
      <xdr:colOff>621645</xdr:colOff>
      <xdr:row>82</xdr:row>
      <xdr:rowOff>173483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7F71A92-3F7E-927D-A68C-F69930391E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27104</xdr:colOff>
      <xdr:row>52</xdr:row>
      <xdr:rowOff>9034</xdr:rowOff>
    </xdr:from>
    <xdr:to>
      <xdr:col>5</xdr:col>
      <xdr:colOff>289138</xdr:colOff>
      <xdr:row>82</xdr:row>
      <xdr:rowOff>144569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58D70F40-BCF4-CB23-6584-7F96FA6CFD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385639</xdr:colOff>
      <xdr:row>6</xdr:row>
      <xdr:rowOff>107343</xdr:rowOff>
    </xdr:from>
    <xdr:to>
      <xdr:col>10</xdr:col>
      <xdr:colOff>206735</xdr:colOff>
      <xdr:row>36</xdr:row>
      <xdr:rowOff>31806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F04AB4A-13BE-C8C9-C5CC-5C2CE1680F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170952</xdr:colOff>
      <xdr:row>6</xdr:row>
      <xdr:rowOff>83490</xdr:rowOff>
    </xdr:from>
    <xdr:to>
      <xdr:col>16</xdr:col>
      <xdr:colOff>628152</xdr:colOff>
      <xdr:row>36</xdr:row>
      <xdr:rowOff>7953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5585760-E321-7215-8E06-0E650C2786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88030</xdr:colOff>
      <xdr:row>37</xdr:row>
      <xdr:rowOff>76672</xdr:rowOff>
    </xdr:from>
    <xdr:to>
      <xdr:col>13</xdr:col>
      <xdr:colOff>443000</xdr:colOff>
      <xdr:row>55</xdr:row>
      <xdr:rowOff>170384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9350E44-80D8-AC68-D72E-2FB6790D6C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13</xdr:col>
      <xdr:colOff>602029</xdr:colOff>
      <xdr:row>38</xdr:row>
      <xdr:rowOff>147667</xdr:rowOff>
    </xdr:from>
    <xdr:to>
      <xdr:col>23</xdr:col>
      <xdr:colOff>361382</xdr:colOff>
      <xdr:row>52</xdr:row>
      <xdr:rowOff>63850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F5DF8FD-8F6A-6AD2-4157-DC6384D98C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166719" y="7485586"/>
          <a:ext cx="6120397" cy="2619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ulticonsult (Excel)">
  <a:themeElements>
    <a:clrScheme name="Multiconsult (Excel)">
      <a:dk1>
        <a:srgbClr val="1E1E1E"/>
      </a:dk1>
      <a:lt1>
        <a:sysClr val="window" lastClr="FFFFFF"/>
      </a:lt1>
      <a:dk2>
        <a:srgbClr val="EA8C27"/>
      </a:dk2>
      <a:lt2>
        <a:srgbClr val="E8E4E2"/>
      </a:lt2>
      <a:accent1>
        <a:srgbClr val="8EB1CA"/>
      </a:accent1>
      <a:accent2>
        <a:srgbClr val="82B589"/>
      </a:accent2>
      <a:accent3>
        <a:srgbClr val="B14F2F"/>
      </a:accent3>
      <a:accent4>
        <a:srgbClr val="FFC000"/>
      </a:accent4>
      <a:accent5>
        <a:srgbClr val="60ADFA"/>
      </a:accent5>
      <a:accent6>
        <a:srgbClr val="F46464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1D26D-58E6-4B13-B3DA-2DFBBC0E86E2}">
  <dimension ref="B2:N82"/>
  <sheetViews>
    <sheetView tabSelected="1" zoomScale="55" zoomScaleNormal="55" workbookViewId="0">
      <selection activeCell="AH57" sqref="AH57:AO69"/>
    </sheetView>
  </sheetViews>
  <sheetFormatPr defaultRowHeight="15.05" x14ac:dyDescent="0.3"/>
  <cols>
    <col min="3" max="5" width="12.6640625" customWidth="1"/>
  </cols>
  <sheetData>
    <row r="2" spans="2:5" x14ac:dyDescent="0.3">
      <c r="B2" t="s">
        <v>3</v>
      </c>
      <c r="C2" s="3">
        <v>3.5280000000000001E-4</v>
      </c>
      <c r="D2" s="3">
        <v>1.3880000000000001E-4</v>
      </c>
      <c r="E2" s="3">
        <v>2.92E-2</v>
      </c>
    </row>
    <row r="3" spans="2:5" x14ac:dyDescent="0.3">
      <c r="B3" t="s">
        <v>4</v>
      </c>
      <c r="C3" s="3">
        <v>-2.52E-2</v>
      </c>
      <c r="D3" s="3">
        <v>-1.112E-2</v>
      </c>
      <c r="E3" s="3">
        <v>-2.5609999999999999</v>
      </c>
    </row>
    <row r="4" spans="2:5" x14ac:dyDescent="0.3">
      <c r="B4" t="s">
        <v>5</v>
      </c>
      <c r="C4" s="3">
        <v>0.72870000000000001</v>
      </c>
      <c r="D4" s="3">
        <v>0.4335</v>
      </c>
      <c r="E4" s="3">
        <v>78.709999999999994</v>
      </c>
    </row>
    <row r="5" spans="2:5" x14ac:dyDescent="0.3">
      <c r="B5" t="s">
        <v>6</v>
      </c>
      <c r="C5" s="3">
        <v>-6.6630000000000003</v>
      </c>
      <c r="D5" s="3">
        <v>-4.0549999999999997</v>
      </c>
      <c r="E5" s="3">
        <v>-815.6</v>
      </c>
    </row>
    <row r="7" spans="2:5" x14ac:dyDescent="0.3">
      <c r="B7" t="s">
        <v>7</v>
      </c>
      <c r="C7" t="s">
        <v>0</v>
      </c>
      <c r="D7" t="s">
        <v>1</v>
      </c>
      <c r="E7" t="s">
        <v>2</v>
      </c>
    </row>
    <row r="8" spans="2:5" x14ac:dyDescent="0.3">
      <c r="B8">
        <v>30</v>
      </c>
      <c r="C8" s="2">
        <f>C$2*POWER($B8, 3)+C$3*POWER($B8, 2)+C$4*POWER($B8, 1)+C$5+C$6</f>
        <v>2.0436000000000014</v>
      </c>
      <c r="D8" s="2">
        <f>D$2*POWER($B8, 3)+D$3*POWER($B8, 2)+D$4*POWER($B8, 1)+D$5+D$6</f>
        <v>2.6896000000000004</v>
      </c>
      <c r="E8" s="2">
        <f t="shared" ref="E8:E14" si="0">E$2*POWER($B8, 3)+E$3*POWER($B8, 2)+E$4*POWER($B8, 1)+E$5</f>
        <v>29.199999999999704</v>
      </c>
    </row>
    <row r="9" spans="2:5" x14ac:dyDescent="0.3">
      <c r="B9">
        <v>32</v>
      </c>
      <c r="C9" s="2">
        <f t="shared" ref="C9:D14" si="1">C$2*POWER($B9, 3)+C$3*POWER($B9, 2)+C$4*POWER($B9, 1)+C$5+C$6</f>
        <v>2.4111504000000004</v>
      </c>
      <c r="D9" s="2">
        <f t="shared" si="1"/>
        <v>2.9783184000000009</v>
      </c>
      <c r="E9" s="2">
        <f t="shared" si="0"/>
        <v>37.481599999999958</v>
      </c>
    </row>
    <row r="10" spans="2:5" x14ac:dyDescent="0.3">
      <c r="B10">
        <v>34</v>
      </c>
      <c r="C10" s="2">
        <f t="shared" si="1"/>
        <v>2.8480512000000004</v>
      </c>
      <c r="D10" s="2">
        <f t="shared" si="1"/>
        <v>3.2846752000000015</v>
      </c>
      <c r="E10" s="2">
        <f t="shared" si="0"/>
        <v>47.700799999999731</v>
      </c>
    </row>
    <row r="11" spans="2:5" x14ac:dyDescent="0.3">
      <c r="B11">
        <v>36</v>
      </c>
      <c r="C11" s="2">
        <f t="shared" si="1"/>
        <v>3.3712368000000019</v>
      </c>
      <c r="D11" s="2">
        <f t="shared" si="1"/>
        <v>3.6153328000000009</v>
      </c>
      <c r="E11" s="2">
        <f t="shared" si="0"/>
        <v>61.259199999999851</v>
      </c>
    </row>
    <row r="12" spans="2:5" x14ac:dyDescent="0.3">
      <c r="B12">
        <v>38</v>
      </c>
      <c r="C12" s="2">
        <f t="shared" si="1"/>
        <v>3.9976415999999979</v>
      </c>
      <c r="D12" s="2">
        <f t="shared" si="1"/>
        <v>3.9769536000000016</v>
      </c>
      <c r="E12" s="2">
        <f t="shared" si="0"/>
        <v>79.558399999999779</v>
      </c>
    </row>
    <row r="13" spans="2:5" x14ac:dyDescent="0.3">
      <c r="B13">
        <v>40</v>
      </c>
      <c r="C13" s="2">
        <f t="shared" si="1"/>
        <v>4.7441999999999993</v>
      </c>
      <c r="D13" s="2">
        <f t="shared" si="1"/>
        <v>4.3762000000000025</v>
      </c>
      <c r="E13" s="2">
        <f t="shared" si="0"/>
        <v>103.99999999999943</v>
      </c>
    </row>
    <row r="14" spans="2:5" x14ac:dyDescent="0.3">
      <c r="B14">
        <v>42</v>
      </c>
      <c r="C14" s="2">
        <f t="shared" si="1"/>
        <v>5.6278463999999957</v>
      </c>
      <c r="D14" s="2">
        <f t="shared" si="1"/>
        <v>4.8197344000000015</v>
      </c>
      <c r="E14" s="2">
        <f t="shared" si="0"/>
        <v>135.98559999999941</v>
      </c>
    </row>
    <row r="16" spans="2:5" x14ac:dyDescent="0.3">
      <c r="B16" t="s">
        <v>8</v>
      </c>
      <c r="C16" t="s">
        <v>0</v>
      </c>
      <c r="D16" t="s">
        <v>1</v>
      </c>
      <c r="E16" t="s">
        <v>2</v>
      </c>
    </row>
    <row r="17" spans="2:5" x14ac:dyDescent="0.3">
      <c r="B17">
        <v>30</v>
      </c>
      <c r="C17" s="2">
        <v>2.0434000000000005</v>
      </c>
      <c r="D17" s="2">
        <v>2.69</v>
      </c>
      <c r="E17" s="2">
        <v>29.55</v>
      </c>
    </row>
    <row r="18" spans="2:5" x14ac:dyDescent="0.3">
      <c r="B18">
        <v>32</v>
      </c>
      <c r="C18" s="2">
        <v>2.4150176000000001</v>
      </c>
      <c r="D18" s="2">
        <v>2.98</v>
      </c>
      <c r="E18" s="2">
        <v>37.5</v>
      </c>
    </row>
    <row r="19" spans="2:5" x14ac:dyDescent="0.3">
      <c r="B19">
        <v>34</v>
      </c>
      <c r="C19" s="2">
        <v>2.85</v>
      </c>
      <c r="D19" s="2">
        <v>3.29</v>
      </c>
      <c r="E19" s="2">
        <v>47.96</v>
      </c>
    </row>
    <row r="20" spans="2:5" x14ac:dyDescent="0.3">
      <c r="B20">
        <v>36</v>
      </c>
      <c r="C20" s="2">
        <v>3.37</v>
      </c>
      <c r="D20" s="2">
        <v>3.61</v>
      </c>
      <c r="E20" s="2">
        <v>61.8</v>
      </c>
    </row>
    <row r="21" spans="2:5" x14ac:dyDescent="0.3">
      <c r="B21">
        <v>38</v>
      </c>
      <c r="C21" s="2">
        <v>4</v>
      </c>
      <c r="D21" s="2">
        <v>3.9800359200000002</v>
      </c>
      <c r="E21" s="2">
        <v>80</v>
      </c>
    </row>
    <row r="22" spans="2:5" x14ac:dyDescent="0.3">
      <c r="B22">
        <v>40</v>
      </c>
      <c r="C22" s="2">
        <v>4.75</v>
      </c>
      <c r="D22" s="2">
        <v>4.38</v>
      </c>
      <c r="E22" s="2">
        <v>104</v>
      </c>
    </row>
    <row r="23" spans="2:5" x14ac:dyDescent="0.3">
      <c r="B23">
        <v>42</v>
      </c>
      <c r="C23" s="2">
        <v>5.63</v>
      </c>
      <c r="D23" s="2">
        <v>4.82</v>
      </c>
      <c r="E23" s="2">
        <v>136.5</v>
      </c>
    </row>
    <row r="24" spans="2:5" x14ac:dyDescent="0.3">
      <c r="B24" s="1"/>
    </row>
    <row r="25" spans="2:5" x14ac:dyDescent="0.3">
      <c r="B25" t="s">
        <v>3</v>
      </c>
      <c r="C25" s="3">
        <v>8.8000000000000005E-3</v>
      </c>
    </row>
    <row r="26" spans="2:5" x14ac:dyDescent="0.3">
      <c r="B26" t="s">
        <v>4</v>
      </c>
      <c r="C26" s="3">
        <v>-0.68400000000000005</v>
      </c>
    </row>
    <row r="27" spans="2:5" x14ac:dyDescent="0.3">
      <c r="B27" t="s">
        <v>5</v>
      </c>
      <c r="C27" s="3">
        <v>18.72</v>
      </c>
    </row>
    <row r="28" spans="2:5" x14ac:dyDescent="0.3">
      <c r="B28" t="s">
        <v>6</v>
      </c>
      <c r="C28" s="3">
        <v>-172.6</v>
      </c>
    </row>
    <row r="30" spans="2:5" x14ac:dyDescent="0.3">
      <c r="B30" t="s">
        <v>17</v>
      </c>
      <c r="C30" t="s">
        <v>15</v>
      </c>
      <c r="D30" t="s">
        <v>16</v>
      </c>
    </row>
    <row r="31" spans="2:5" x14ac:dyDescent="0.3">
      <c r="B31">
        <v>29</v>
      </c>
      <c r="C31">
        <v>7</v>
      </c>
      <c r="D31" s="6">
        <f>C31*0.271</f>
        <v>1.8970000000000002</v>
      </c>
    </row>
    <row r="32" spans="2:5" x14ac:dyDescent="0.3">
      <c r="B32">
        <v>29.3</v>
      </c>
      <c r="C32">
        <v>12</v>
      </c>
      <c r="D32" s="6">
        <f t="shared" ref="D32:D33" si="2">C32*0.271</f>
        <v>3.2520000000000002</v>
      </c>
    </row>
    <row r="33" spans="2:5" x14ac:dyDescent="0.3">
      <c r="B33" s="10">
        <v>29.6</v>
      </c>
      <c r="C33" s="10">
        <v>19</v>
      </c>
      <c r="D33" s="11">
        <f t="shared" si="2"/>
        <v>5.149</v>
      </c>
    </row>
    <row r="34" spans="2:5" x14ac:dyDescent="0.3">
      <c r="B34" s="10">
        <v>30</v>
      </c>
      <c r="C34" s="10">
        <v>31</v>
      </c>
      <c r="D34" s="11">
        <f t="shared" ref="D34:D49" si="3">C34*0.271</f>
        <v>8.4009999999999998</v>
      </c>
    </row>
    <row r="35" spans="2:5" x14ac:dyDescent="0.3">
      <c r="B35">
        <v>31</v>
      </c>
      <c r="C35">
        <v>38</v>
      </c>
      <c r="D35" s="6">
        <f t="shared" si="3"/>
        <v>10.298</v>
      </c>
    </row>
    <row r="36" spans="2:5" x14ac:dyDescent="0.3">
      <c r="B36">
        <v>32</v>
      </c>
      <c r="C36">
        <v>48</v>
      </c>
      <c r="D36" s="6">
        <f t="shared" si="3"/>
        <v>13.008000000000001</v>
      </c>
    </row>
    <row r="37" spans="2:5" x14ac:dyDescent="0.3">
      <c r="B37">
        <v>33</v>
      </c>
      <c r="C37">
        <v>57.5</v>
      </c>
      <c r="D37" s="6">
        <f t="shared" si="3"/>
        <v>15.582500000000001</v>
      </c>
    </row>
    <row r="38" spans="2:5" x14ac:dyDescent="0.3">
      <c r="B38">
        <v>34</v>
      </c>
      <c r="C38">
        <v>68.5</v>
      </c>
      <c r="D38" s="6">
        <f t="shared" si="3"/>
        <v>18.563500000000001</v>
      </c>
    </row>
    <row r="39" spans="2:5" x14ac:dyDescent="0.3">
      <c r="B39" s="10">
        <v>35</v>
      </c>
      <c r="C39" s="10">
        <v>80</v>
      </c>
      <c r="D39" s="11">
        <f t="shared" si="3"/>
        <v>21.68</v>
      </c>
    </row>
    <row r="40" spans="2:5" x14ac:dyDescent="0.3">
      <c r="B40" s="10">
        <v>36</v>
      </c>
      <c r="C40" s="10">
        <v>92</v>
      </c>
      <c r="D40" s="11">
        <f t="shared" si="3"/>
        <v>24.932000000000002</v>
      </c>
    </row>
    <row r="41" spans="2:5" x14ac:dyDescent="0.3">
      <c r="B41">
        <v>37</v>
      </c>
      <c r="C41">
        <v>105</v>
      </c>
      <c r="D41" s="6">
        <f t="shared" si="3"/>
        <v>28.455000000000002</v>
      </c>
    </row>
    <row r="42" spans="2:5" x14ac:dyDescent="0.3">
      <c r="B42">
        <v>38</v>
      </c>
      <c r="C42">
        <v>121</v>
      </c>
      <c r="D42" s="6">
        <f t="shared" si="3"/>
        <v>32.791000000000004</v>
      </c>
    </row>
    <row r="43" spans="2:5" x14ac:dyDescent="0.3">
      <c r="B43" s="10">
        <v>39</v>
      </c>
      <c r="C43" s="10">
        <v>139</v>
      </c>
      <c r="D43" s="11">
        <f t="shared" si="3"/>
        <v>37.669000000000004</v>
      </c>
    </row>
    <row r="44" spans="2:5" x14ac:dyDescent="0.3">
      <c r="B44" s="10">
        <v>40</v>
      </c>
      <c r="C44" s="10">
        <v>157</v>
      </c>
      <c r="D44" s="11">
        <f t="shared" si="3"/>
        <v>42.547000000000004</v>
      </c>
      <c r="E44" s="8">
        <f>(C44-C43)/(B44-B43)</f>
        <v>18</v>
      </c>
    </row>
    <row r="45" spans="2:5" x14ac:dyDescent="0.3">
      <c r="B45">
        <v>41</v>
      </c>
      <c r="C45" s="6">
        <f>MIN($E$44*43+$E$45, $E$44*B45+$E$45)</f>
        <v>175</v>
      </c>
      <c r="D45" s="6">
        <f t="shared" si="3"/>
        <v>47.425000000000004</v>
      </c>
      <c r="E45" s="9">
        <f>$E$44*-$B$44+$C$44</f>
        <v>-563</v>
      </c>
    </row>
    <row r="46" spans="2:5" x14ac:dyDescent="0.3">
      <c r="B46">
        <v>42</v>
      </c>
      <c r="C46" s="6">
        <f t="shared" ref="C46:C49" si="4">MIN($E$44*43+$E$45, $E$44*B46+$E$45)</f>
        <v>193</v>
      </c>
      <c r="D46" s="6">
        <f t="shared" si="3"/>
        <v>52.303000000000004</v>
      </c>
    </row>
    <row r="47" spans="2:5" x14ac:dyDescent="0.3">
      <c r="B47">
        <v>43</v>
      </c>
      <c r="C47" s="6">
        <f t="shared" si="4"/>
        <v>211</v>
      </c>
      <c r="D47" s="6">
        <f t="shared" si="3"/>
        <v>57.181000000000004</v>
      </c>
    </row>
    <row r="48" spans="2:5" x14ac:dyDescent="0.3">
      <c r="B48">
        <v>44</v>
      </c>
      <c r="C48" s="6">
        <f t="shared" si="4"/>
        <v>211</v>
      </c>
      <c r="D48" s="6">
        <f t="shared" si="3"/>
        <v>57.181000000000004</v>
      </c>
    </row>
    <row r="49" spans="2:14" x14ac:dyDescent="0.3">
      <c r="B49">
        <v>46.6</v>
      </c>
      <c r="C49" s="6">
        <f t="shared" si="4"/>
        <v>211</v>
      </c>
      <c r="D49" s="6">
        <f t="shared" si="3"/>
        <v>57.181000000000004</v>
      </c>
      <c r="N49" s="4"/>
    </row>
    <row r="50" spans="2:14" x14ac:dyDescent="0.3">
      <c r="N50" s="4"/>
    </row>
    <row r="52" spans="2:14" x14ac:dyDescent="0.3">
      <c r="N52" s="5"/>
    </row>
    <row r="77" spans="3:6" x14ac:dyDescent="0.3">
      <c r="F77" s="2"/>
    </row>
    <row r="78" spans="3:6" x14ac:dyDescent="0.3">
      <c r="C78" s="7"/>
      <c r="F78" s="2"/>
    </row>
    <row r="79" spans="3:6" x14ac:dyDescent="0.3">
      <c r="C79" s="7"/>
      <c r="F79" s="2"/>
    </row>
    <row r="80" spans="3:6" x14ac:dyDescent="0.3">
      <c r="C80" s="7"/>
      <c r="F80" s="2"/>
    </row>
    <row r="81" spans="6:6" x14ac:dyDescent="0.3">
      <c r="F81" s="2"/>
    </row>
    <row r="82" spans="6:6" x14ac:dyDescent="0.3">
      <c r="F82" s="2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E0580-F52B-4C1A-B799-C6C1B844C5DD}">
  <dimension ref="B1:D47"/>
  <sheetViews>
    <sheetView zoomScale="70" zoomScaleNormal="70" workbookViewId="0">
      <selection activeCell="T19" sqref="T19"/>
    </sheetView>
  </sheetViews>
  <sheetFormatPr defaultRowHeight="15.05" x14ac:dyDescent="0.3"/>
  <cols>
    <col min="3" max="3" width="9.88671875" bestFit="1" customWidth="1"/>
    <col min="6" max="6" width="12" bestFit="1" customWidth="1"/>
  </cols>
  <sheetData>
    <row r="1" spans="2:4" x14ac:dyDescent="0.3">
      <c r="B1" t="s">
        <v>3</v>
      </c>
      <c r="C1" s="3">
        <v>-2.7779999999999998E-4</v>
      </c>
    </row>
    <row r="2" spans="2:4" x14ac:dyDescent="0.3">
      <c r="B2" t="s">
        <v>4</v>
      </c>
      <c r="C2" s="3">
        <v>8.4200000000000004E-3</v>
      </c>
    </row>
    <row r="3" spans="2:4" x14ac:dyDescent="0.3">
      <c r="B3" t="s">
        <v>5</v>
      </c>
      <c r="C3" s="3">
        <v>-7.7642000000000003E-2</v>
      </c>
    </row>
    <row r="4" spans="2:4" x14ac:dyDescent="0.3">
      <c r="B4" t="s">
        <v>6</v>
      </c>
      <c r="C4" s="3">
        <v>0.29399999999999998</v>
      </c>
    </row>
    <row r="5" spans="2:4" x14ac:dyDescent="0.3">
      <c r="B5" t="s">
        <v>12</v>
      </c>
      <c r="C5" s="3">
        <v>0.1981</v>
      </c>
    </row>
    <row r="7" spans="2:4" x14ac:dyDescent="0.3">
      <c r="B7" t="s">
        <v>14</v>
      </c>
      <c r="C7" t="s">
        <v>10</v>
      </c>
      <c r="D7" t="s">
        <v>11</v>
      </c>
    </row>
    <row r="8" spans="2:4" x14ac:dyDescent="0.3">
      <c r="B8">
        <v>0.01</v>
      </c>
      <c r="C8" s="2">
        <f>C$1*POWER($B8, 4)+C$2*POWER($B8, 3)+C$3*POWER($B8, 2)+C$4*POWER($B8, 1)+C$5</f>
        <v>0.20103224421722199</v>
      </c>
      <c r="D8">
        <v>0.2</v>
      </c>
    </row>
    <row r="9" spans="2:4" x14ac:dyDescent="0.3">
      <c r="B9">
        <v>0.5</v>
      </c>
      <c r="C9" s="2">
        <f t="shared" ref="C9:C16" si="0">C$1*POWER($B9, 4)+C$2*POWER($B9, 3)+C$3*POWER($B9, 2)+C$4*POWER($B9, 1)+C$5</f>
        <v>0.32672463750000003</v>
      </c>
      <c r="D9">
        <v>0.33</v>
      </c>
    </row>
    <row r="10" spans="2:4" x14ac:dyDescent="0.3">
      <c r="B10">
        <v>1</v>
      </c>
      <c r="C10" s="2">
        <f t="shared" si="0"/>
        <v>0.42260019999999998</v>
      </c>
      <c r="D10">
        <v>0.42</v>
      </c>
    </row>
    <row r="11" spans="2:4" x14ac:dyDescent="0.3">
      <c r="B11">
        <v>1.5</v>
      </c>
      <c r="C11" s="2">
        <f t="shared" si="0"/>
        <v>0.49141663749999992</v>
      </c>
      <c r="D11">
        <v>0.49</v>
      </c>
    </row>
    <row r="12" spans="2:4" x14ac:dyDescent="0.3">
      <c r="B12">
        <v>2</v>
      </c>
      <c r="C12" s="2">
        <f t="shared" si="0"/>
        <v>0.53844720000000001</v>
      </c>
      <c r="D12">
        <v>0.54</v>
      </c>
    </row>
    <row r="13" spans="2:4" x14ac:dyDescent="0.3">
      <c r="B13">
        <v>2.5</v>
      </c>
      <c r="C13" s="2">
        <f t="shared" si="0"/>
        <v>0.56854843749999995</v>
      </c>
      <c r="D13">
        <v>0.56999999999999995</v>
      </c>
    </row>
    <row r="14" spans="2:4" x14ac:dyDescent="0.3">
      <c r="B14">
        <v>3</v>
      </c>
      <c r="C14" s="2">
        <f t="shared" si="0"/>
        <v>0.58616019999999991</v>
      </c>
      <c r="D14">
        <v>0.58499999999999996</v>
      </c>
    </row>
    <row r="15" spans="2:4" x14ac:dyDescent="0.3">
      <c r="B15">
        <v>3.5</v>
      </c>
      <c r="C15" s="2">
        <f t="shared" si="0"/>
        <v>0.59530563749999987</v>
      </c>
      <c r="D15">
        <v>0.59499999999999997</v>
      </c>
    </row>
    <row r="16" spans="2:4" x14ac:dyDescent="0.3">
      <c r="B16">
        <v>4</v>
      </c>
      <c r="C16" s="2">
        <f t="shared" si="0"/>
        <v>0.59959119999999988</v>
      </c>
      <c r="D16">
        <v>0.6</v>
      </c>
    </row>
    <row r="17" spans="2:4" x14ac:dyDescent="0.3">
      <c r="B17">
        <v>4.5</v>
      </c>
      <c r="C17" s="2">
        <v>0.6</v>
      </c>
      <c r="D17">
        <v>0.6</v>
      </c>
    </row>
    <row r="18" spans="2:4" x14ac:dyDescent="0.3">
      <c r="B18">
        <v>5</v>
      </c>
      <c r="C18" s="2">
        <v>0.6</v>
      </c>
      <c r="D18">
        <v>0.6</v>
      </c>
    </row>
    <row r="19" spans="2:4" x14ac:dyDescent="0.3">
      <c r="B19">
        <v>5.5</v>
      </c>
      <c r="C19" s="2">
        <v>0.6</v>
      </c>
      <c r="D19">
        <v>0.6</v>
      </c>
    </row>
    <row r="20" spans="2:4" x14ac:dyDescent="0.3">
      <c r="B20">
        <v>6</v>
      </c>
      <c r="C20" s="2">
        <v>0.6</v>
      </c>
      <c r="D20">
        <v>0.6</v>
      </c>
    </row>
    <row r="21" spans="2:4" x14ac:dyDescent="0.3">
      <c r="B21">
        <v>6.5</v>
      </c>
      <c r="C21" s="2">
        <v>0.6</v>
      </c>
      <c r="D21">
        <v>0.6</v>
      </c>
    </row>
    <row r="22" spans="2:4" x14ac:dyDescent="0.3">
      <c r="B22">
        <v>7</v>
      </c>
      <c r="C22" s="2">
        <v>0.6</v>
      </c>
      <c r="D22">
        <v>0.6</v>
      </c>
    </row>
    <row r="23" spans="2:4" x14ac:dyDescent="0.3">
      <c r="B23">
        <v>7.5</v>
      </c>
      <c r="C23" s="2">
        <v>0.6</v>
      </c>
      <c r="D23">
        <v>0.6</v>
      </c>
    </row>
    <row r="24" spans="2:4" x14ac:dyDescent="0.3">
      <c r="B24">
        <v>8</v>
      </c>
      <c r="C24" s="2">
        <v>0.6</v>
      </c>
      <c r="D24">
        <v>0.6</v>
      </c>
    </row>
    <row r="25" spans="2:4" x14ac:dyDescent="0.3">
      <c r="B25">
        <v>8.5</v>
      </c>
      <c r="C25" s="2">
        <v>0.6</v>
      </c>
      <c r="D25">
        <v>0.6</v>
      </c>
    </row>
    <row r="26" spans="2:4" x14ac:dyDescent="0.3">
      <c r="B26">
        <v>9</v>
      </c>
      <c r="C26" s="2">
        <v>0.6</v>
      </c>
      <c r="D26">
        <v>0.6</v>
      </c>
    </row>
    <row r="27" spans="2:4" x14ac:dyDescent="0.3">
      <c r="B27">
        <v>9.5</v>
      </c>
      <c r="C27" s="2">
        <v>0.6</v>
      </c>
      <c r="D27">
        <v>0.6</v>
      </c>
    </row>
    <row r="28" spans="2:4" x14ac:dyDescent="0.3">
      <c r="B28">
        <v>10</v>
      </c>
      <c r="C28" s="2">
        <v>0.6</v>
      </c>
      <c r="D28">
        <v>0.6</v>
      </c>
    </row>
    <row r="39" spans="2:3" x14ac:dyDescent="0.3">
      <c r="B39" t="s">
        <v>13</v>
      </c>
      <c r="C39" t="s">
        <v>9</v>
      </c>
    </row>
    <row r="40" spans="2:3" x14ac:dyDescent="0.3">
      <c r="B40">
        <v>50</v>
      </c>
      <c r="C40">
        <v>130</v>
      </c>
    </row>
    <row r="41" spans="2:3" x14ac:dyDescent="0.3">
      <c r="B41">
        <v>100</v>
      </c>
      <c r="C41">
        <f>C40</f>
        <v>130</v>
      </c>
    </row>
    <row r="43" spans="2:3" x14ac:dyDescent="0.3">
      <c r="B43">
        <v>100</v>
      </c>
      <c r="C43">
        <v>270</v>
      </c>
    </row>
    <row r="44" spans="2:3" x14ac:dyDescent="0.3">
      <c r="B44">
        <v>200</v>
      </c>
      <c r="C44">
        <f>C43</f>
        <v>270</v>
      </c>
    </row>
    <row r="46" spans="2:3" x14ac:dyDescent="0.3">
      <c r="B46">
        <v>200</v>
      </c>
      <c r="C46">
        <v>540</v>
      </c>
    </row>
    <row r="47" spans="2:3" x14ac:dyDescent="0.3">
      <c r="B47">
        <v>400</v>
      </c>
      <c r="C47">
        <f>C46</f>
        <v>540</v>
      </c>
    </row>
  </sheetData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TemplafyFormConfiguration><![CDATA[{"formFields":[],"formDataEntries":[]}]]></TemplafyFormConfiguration>
</file>

<file path=customXml/item2.xml><?xml version="1.0" encoding="utf-8"?>
<TemplafyTemplateConfiguration><![CDATA[{"transformationConfigurations":[],"templateName":"Excel-mal","templateDescription":"","enableDocumentContentUpdater":false,"version":"2.0"}]]></TemplafyTemplateConfiguration>
</file>

<file path=customXml/itemProps1.xml><?xml version="1.0" encoding="utf-8"?>
<ds:datastoreItem xmlns:ds="http://schemas.openxmlformats.org/officeDocument/2006/customXml" ds:itemID="{9AA1FF10-8034-437A-93E1-78CCBF8CA179}">
  <ds:schemaRefs/>
</ds:datastoreItem>
</file>

<file path=customXml/itemProps2.xml><?xml version="1.0" encoding="utf-8"?>
<ds:datastoreItem xmlns:ds="http://schemas.openxmlformats.org/officeDocument/2006/customXml" ds:itemID="{4E98FD47-5E31-4B4B-836F-14AA17DBA37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API_sand</vt:lpstr>
      <vt:lpstr>API_stiff_clay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2025-09-01T13:20:05Z</dcterms:created>
  <dcterms:modified xsi:type="dcterms:W3CDTF">2026-03-06T08:58:44Z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multiconsult</vt:lpwstr>
  </property>
  <property fmtid="{D5CDD505-2E9C-101B-9397-08002B2CF9AE}" pid="3" name="TemplafyTemplateId">
    <vt:lpwstr>939898145516290330</vt:lpwstr>
  </property>
  <property fmtid="{D5CDD505-2E9C-101B-9397-08002B2CF9AE}" pid="4" name="TemplafyUserProfileId">
    <vt:lpwstr>1264900811767940117</vt:lpwstr>
  </property>
  <property fmtid="{D5CDD505-2E9C-101B-9397-08002B2CF9AE}" pid="5" name="TemplafyFromBlank">
    <vt:bool>true</vt:bool>
  </property>
</Properties>
</file>