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lticonsultas-my.sharepoint.com/personal/steb_multiconsult_no/Documents/STEB/python_projects/pile_lateral_displacement/"/>
    </mc:Choice>
  </mc:AlternateContent>
  <xr:revisionPtr revIDLastSave="797" documentId="13_ncr:1_{E38D5556-A354-4B90-86C4-B96A5A8329E3}" xr6:coauthVersionLast="47" xr6:coauthVersionMax="47" xr10:uidLastSave="{D7BAA0A2-E9F5-498C-8A32-C97514C06F4D}"/>
  <bookViews>
    <workbookView xWindow="-113" yWindow="-113" windowWidth="24267" windowHeight="14526" xr2:uid="{00000000-000D-0000-FFFF-FFFF00000000}"/>
  </bookViews>
  <sheets>
    <sheet name="eirin_lateral" sheetId="23" r:id="rId1"/>
    <sheet name="eirin_lateral_red" sheetId="20" r:id="rId2"/>
    <sheet name="eirin_lateral_scour" sheetId="7" r:id="rId3"/>
    <sheet name="eirin_lateral_red_scour" sheetId="22" r:id="rId4"/>
    <sheet name="pure_sand_25" sheetId="8" r:id="rId5"/>
    <sheet name="pure_sand_30" sheetId="9" r:id="rId6"/>
    <sheet name="pure_sand_35" sheetId="5" r:id="rId7"/>
    <sheet name="pure_sand_40" sheetId="10" r:id="rId8"/>
    <sheet name="pure_sand_45" sheetId="11" r:id="rId9"/>
    <sheet name="pure_clay_25" sheetId="12" r:id="rId10"/>
    <sheet name="pure_clay_50" sheetId="6" r:id="rId11"/>
    <sheet name="pure_clay_75" sheetId="13" r:id="rId12"/>
    <sheet name="pure_clay_100" sheetId="14" r:id="rId13"/>
    <sheet name="pure_clay_150" sheetId="15" r:id="rId14"/>
    <sheet name="pure_clay_250" sheetId="16" r:id="rId15"/>
    <sheet name="sand_over_clay" sheetId="18" r:id="rId16"/>
    <sheet name="clay_over_sand" sheetId="1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3" l="1"/>
  <c r="H3" i="23" s="1"/>
  <c r="G2" i="23"/>
  <c r="H2" i="23" s="1"/>
  <c r="C17" i="22"/>
  <c r="C16" i="22"/>
  <c r="C15" i="22"/>
  <c r="C14" i="22"/>
  <c r="C13" i="22"/>
  <c r="C12" i="22"/>
  <c r="C11" i="22"/>
  <c r="C10" i="22"/>
  <c r="C9" i="22"/>
  <c r="C8" i="22"/>
  <c r="C7" i="22"/>
  <c r="C6" i="22"/>
  <c r="C5" i="22"/>
  <c r="C4" i="22"/>
  <c r="C3" i="22"/>
  <c r="C2" i="22"/>
  <c r="H2" i="22" s="1"/>
  <c r="G2" i="20"/>
  <c r="G3" i="20" s="1"/>
  <c r="G3" i="19"/>
  <c r="G4" i="19" s="1"/>
  <c r="G5" i="19" s="1"/>
  <c r="H5" i="19" s="1"/>
  <c r="G4" i="18"/>
  <c r="G5" i="18"/>
  <c r="H5" i="18" s="1"/>
  <c r="G2" i="19"/>
  <c r="G2" i="18"/>
  <c r="G3" i="18" s="1"/>
  <c r="H3" i="18" s="1"/>
  <c r="G2" i="16"/>
  <c r="G3" i="16" s="1"/>
  <c r="H3" i="16" s="1"/>
  <c r="G2" i="15"/>
  <c r="G3" i="15" s="1"/>
  <c r="H3" i="15" s="1"/>
  <c r="H2" i="14"/>
  <c r="G2" i="14"/>
  <c r="G3" i="14" s="1"/>
  <c r="H3" i="14" s="1"/>
  <c r="G2" i="13"/>
  <c r="G3" i="13" s="1"/>
  <c r="H3" i="13" s="1"/>
  <c r="G2" i="12"/>
  <c r="H2" i="12" s="1"/>
  <c r="G2" i="11"/>
  <c r="G3" i="11" s="1"/>
  <c r="H3" i="11" s="1"/>
  <c r="G2" i="10"/>
  <c r="G3" i="10" s="1"/>
  <c r="H3" i="10" s="1"/>
  <c r="G2" i="9"/>
  <c r="G3" i="9" s="1"/>
  <c r="H3" i="9" s="1"/>
  <c r="G2" i="8"/>
  <c r="G3" i="8" s="1"/>
  <c r="H3" i="8" s="1"/>
  <c r="G2" i="5"/>
  <c r="H2" i="5" s="1"/>
  <c r="H3" i="6"/>
  <c r="H2" i="6"/>
  <c r="G3" i="6"/>
  <c r="G2" i="6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4" i="7"/>
  <c r="H3" i="7"/>
  <c r="H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2" i="7"/>
  <c r="G4" i="23" l="1"/>
  <c r="I2" i="22"/>
  <c r="H3" i="22"/>
  <c r="G4" i="20"/>
  <c r="H3" i="20"/>
  <c r="H2" i="20"/>
  <c r="H3" i="19"/>
  <c r="H4" i="19"/>
  <c r="H2" i="19"/>
  <c r="H2" i="18"/>
  <c r="H4" i="18"/>
  <c r="H2" i="16"/>
  <c r="H2" i="15"/>
  <c r="H2" i="13"/>
  <c r="G3" i="12"/>
  <c r="H3" i="12" s="1"/>
  <c r="H2" i="11"/>
  <c r="H2" i="10"/>
  <c r="H2" i="9"/>
  <c r="H2" i="8"/>
  <c r="G3" i="5"/>
  <c r="H3" i="5" s="1"/>
  <c r="G5" i="23" l="1"/>
  <c r="H4" i="23"/>
  <c r="H4" i="22"/>
  <c r="I3" i="22"/>
  <c r="G5" i="20"/>
  <c r="H4" i="20"/>
  <c r="G6" i="23" l="1"/>
  <c r="H5" i="23"/>
  <c r="H5" i="22"/>
  <c r="I4" i="22"/>
  <c r="H5" i="20"/>
  <c r="G6" i="20"/>
  <c r="G7" i="23" l="1"/>
  <c r="H6" i="23"/>
  <c r="H6" i="22"/>
  <c r="I5" i="22"/>
  <c r="G7" i="20"/>
  <c r="H6" i="20"/>
  <c r="G8" i="23" l="1"/>
  <c r="H7" i="23"/>
  <c r="H7" i="22"/>
  <c r="I6" i="22"/>
  <c r="H7" i="20"/>
  <c r="G8" i="20"/>
  <c r="G9" i="23" l="1"/>
  <c r="H8" i="23"/>
  <c r="I7" i="22"/>
  <c r="H8" i="22"/>
  <c r="H8" i="20"/>
  <c r="G9" i="20"/>
  <c r="H9" i="23" l="1"/>
  <c r="G10" i="23"/>
  <c r="H9" i="22"/>
  <c r="I8" i="22"/>
  <c r="H9" i="20"/>
  <c r="G10" i="20"/>
  <c r="G11" i="23" l="1"/>
  <c r="H10" i="23"/>
  <c r="H10" i="22"/>
  <c r="I9" i="22"/>
  <c r="G11" i="20"/>
  <c r="H10" i="20"/>
  <c r="G12" i="23" l="1"/>
  <c r="H11" i="23"/>
  <c r="H11" i="22"/>
  <c r="I10" i="22"/>
  <c r="G12" i="20"/>
  <c r="H11" i="20"/>
  <c r="H12" i="23" l="1"/>
  <c r="G13" i="23"/>
  <c r="H12" i="22"/>
  <c r="I11" i="22"/>
  <c r="G13" i="20"/>
  <c r="H12" i="20"/>
  <c r="G14" i="23" l="1"/>
  <c r="H13" i="23"/>
  <c r="H13" i="22"/>
  <c r="I12" i="22"/>
  <c r="G14" i="20"/>
  <c r="H13" i="20"/>
  <c r="G15" i="23" l="1"/>
  <c r="H14" i="23"/>
  <c r="H14" i="22"/>
  <c r="I13" i="22"/>
  <c r="G15" i="20"/>
  <c r="H14" i="20"/>
  <c r="G16" i="23" l="1"/>
  <c r="H15" i="23"/>
  <c r="I14" i="22"/>
  <c r="H15" i="22"/>
  <c r="H15" i="20"/>
  <c r="G16" i="20"/>
  <c r="H16" i="23" l="1"/>
  <c r="G17" i="23"/>
  <c r="H16" i="22"/>
  <c r="I15" i="22"/>
  <c r="G17" i="20"/>
  <c r="H16" i="20"/>
  <c r="G18" i="23" l="1"/>
  <c r="H17" i="23"/>
  <c r="I16" i="22"/>
  <c r="H17" i="22"/>
  <c r="I17" i="22" s="1"/>
  <c r="G18" i="20"/>
  <c r="H17" i="20"/>
  <c r="H18" i="23" l="1"/>
  <c r="G19" i="23"/>
  <c r="H19" i="23" s="1"/>
  <c r="G19" i="20"/>
  <c r="H19" i="20" s="1"/>
  <c r="H18" i="20"/>
</calcChain>
</file>

<file path=xl/sharedStrings.xml><?xml version="1.0" encoding="utf-8"?>
<sst xmlns="http://schemas.openxmlformats.org/spreadsheetml/2006/main" count="806" uniqueCount="35">
  <si>
    <t>location_gdb</t>
  </si>
  <si>
    <t>depth</t>
  </si>
  <si>
    <t>unit_name</t>
  </si>
  <si>
    <t>soil_type</t>
  </si>
  <si>
    <t>site_name</t>
  </si>
  <si>
    <t>p0</t>
  </si>
  <si>
    <t>p0_</t>
  </si>
  <si>
    <t>Ic</t>
  </si>
  <si>
    <t>qc_A</t>
  </si>
  <si>
    <t>qc_C</t>
  </si>
  <si>
    <t>qc_E</t>
  </si>
  <si>
    <t>qt_A</t>
  </si>
  <si>
    <t>qt_C</t>
  </si>
  <si>
    <t>qt_E</t>
  </si>
  <si>
    <t>fs_A</t>
  </si>
  <si>
    <t>fs_C</t>
  </si>
  <si>
    <t>fs_E</t>
  </si>
  <si>
    <t>su_A</t>
  </si>
  <si>
    <t>su_C</t>
  </si>
  <si>
    <t>su_E</t>
  </si>
  <si>
    <t>dr_sat_A</t>
  </si>
  <si>
    <t>dr_sat_C</t>
  </si>
  <si>
    <t>dr_sat_E</t>
  </si>
  <si>
    <t>Test</t>
  </si>
  <si>
    <t>C</t>
  </si>
  <si>
    <t>S</t>
  </si>
  <si>
    <t>phi_M_A</t>
  </si>
  <si>
    <t>phi_M_C</t>
  </si>
  <si>
    <t>phi_M_E</t>
  </si>
  <si>
    <t>qn_A</t>
  </si>
  <si>
    <t>qn_C</t>
  </si>
  <si>
    <t>qn_E</t>
  </si>
  <si>
    <t>T_UW</t>
  </si>
  <si>
    <t>Eirin</t>
  </si>
  <si>
    <t>depth_orig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</si>
</sst>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FC8C-1FE5-473F-946A-73AFDAC3A86C}">
  <dimension ref="A1:AD38"/>
  <sheetViews>
    <sheetView tabSelected="1" zoomScale="70" zoomScaleNormal="70" workbookViewId="0">
      <selection activeCell="I24" sqref="I24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20.3</v>
      </c>
      <c r="G2">
        <f>F2*B2</f>
        <v>0.20300000000000001</v>
      </c>
      <c r="H2">
        <f>G2-B2*10</f>
        <v>0.10300000000000001</v>
      </c>
      <c r="M2" s="2">
        <v>0</v>
      </c>
      <c r="N2" s="2"/>
      <c r="O2" s="2">
        <v>0</v>
      </c>
      <c r="P2" s="3"/>
      <c r="Q2" s="3"/>
      <c r="R2" s="3"/>
      <c r="Y2">
        <v>20</v>
      </c>
      <c r="AA2">
        <v>20</v>
      </c>
      <c r="AB2">
        <v>33.700000000000003</v>
      </c>
      <c r="AD2">
        <v>33.700000000000003</v>
      </c>
    </row>
    <row r="3" spans="1:30" x14ac:dyDescent="0.3">
      <c r="A3" t="s">
        <v>33</v>
      </c>
      <c r="B3">
        <v>2</v>
      </c>
      <c r="C3" t="s">
        <v>23</v>
      </c>
      <c r="D3" t="s">
        <v>25</v>
      </c>
      <c r="F3">
        <v>20.3</v>
      </c>
      <c r="G3">
        <f>G2+F3*(B3-B2)</f>
        <v>40.6</v>
      </c>
      <c r="H3">
        <f t="shared" ref="H3:H19" si="0">G3-B3*10</f>
        <v>20.6</v>
      </c>
      <c r="M3" s="2">
        <v>0.5</v>
      </c>
      <c r="N3" s="2"/>
      <c r="O3" s="2">
        <v>0.5</v>
      </c>
      <c r="P3" s="3"/>
      <c r="Q3" s="3"/>
      <c r="R3" s="3"/>
      <c r="Y3">
        <v>20</v>
      </c>
      <c r="AA3">
        <v>20</v>
      </c>
      <c r="AB3">
        <v>33.700000000000003</v>
      </c>
      <c r="AD3">
        <v>33.700000000000003</v>
      </c>
    </row>
    <row r="4" spans="1:30" x14ac:dyDescent="0.3">
      <c r="A4" t="s">
        <v>33</v>
      </c>
      <c r="B4">
        <v>2.0099999999999998</v>
      </c>
      <c r="C4" t="s">
        <v>23</v>
      </c>
      <c r="D4" t="s">
        <v>25</v>
      </c>
      <c r="F4">
        <v>20.3</v>
      </c>
      <c r="G4">
        <f t="shared" ref="G4:G19" si="1">G3+F4*(B4-B3)</f>
        <v>40.802999999999997</v>
      </c>
      <c r="H4">
        <f t="shared" si="0"/>
        <v>20.702999999999999</v>
      </c>
      <c r="M4" s="2">
        <v>0.5</v>
      </c>
      <c r="N4" s="2"/>
      <c r="O4" s="2">
        <v>0.5</v>
      </c>
      <c r="P4" s="3"/>
      <c r="Q4" s="3"/>
      <c r="R4" s="3"/>
      <c r="Y4">
        <v>20</v>
      </c>
      <c r="AA4">
        <v>20</v>
      </c>
      <c r="AB4">
        <v>33.700000000000003</v>
      </c>
      <c r="AD4">
        <v>33.700000000000003</v>
      </c>
    </row>
    <row r="5" spans="1:30" x14ac:dyDescent="0.3">
      <c r="A5" t="s">
        <v>33</v>
      </c>
      <c r="B5">
        <v>2.7</v>
      </c>
      <c r="C5" t="s">
        <v>23</v>
      </c>
      <c r="D5" t="s">
        <v>25</v>
      </c>
      <c r="F5">
        <v>20.3</v>
      </c>
      <c r="G5">
        <f t="shared" si="1"/>
        <v>54.81</v>
      </c>
      <c r="H5">
        <f t="shared" si="0"/>
        <v>27.810000000000002</v>
      </c>
      <c r="M5" s="2">
        <v>0.5</v>
      </c>
      <c r="N5" s="2"/>
      <c r="O5" s="2">
        <v>0.5</v>
      </c>
      <c r="P5" s="3"/>
      <c r="Q5" s="3"/>
      <c r="R5" s="3"/>
      <c r="Y5">
        <v>20</v>
      </c>
      <c r="AA5">
        <v>20</v>
      </c>
      <c r="AB5">
        <v>33.700000000000003</v>
      </c>
      <c r="AD5">
        <v>33.700000000000003</v>
      </c>
    </row>
    <row r="6" spans="1:30" x14ac:dyDescent="0.3">
      <c r="A6" t="s">
        <v>33</v>
      </c>
      <c r="B6">
        <v>2.71</v>
      </c>
      <c r="C6" t="s">
        <v>23</v>
      </c>
      <c r="D6" t="s">
        <v>24</v>
      </c>
      <c r="F6">
        <v>21.5</v>
      </c>
      <c r="G6">
        <f t="shared" si="1"/>
        <v>55.024999999999999</v>
      </c>
      <c r="H6">
        <f t="shared" si="0"/>
        <v>27.924999999999997</v>
      </c>
      <c r="M6" s="2"/>
      <c r="N6" s="2"/>
      <c r="O6" s="2"/>
      <c r="P6" s="3"/>
      <c r="Q6" s="3"/>
      <c r="R6" s="3"/>
      <c r="V6">
        <v>35</v>
      </c>
      <c r="X6" s="3">
        <v>60</v>
      </c>
    </row>
    <row r="7" spans="1:30" x14ac:dyDescent="0.3">
      <c r="A7" t="s">
        <v>33</v>
      </c>
      <c r="B7">
        <v>5</v>
      </c>
      <c r="C7" t="s">
        <v>23</v>
      </c>
      <c r="D7" t="s">
        <v>24</v>
      </c>
      <c r="F7">
        <v>21.5</v>
      </c>
      <c r="G7">
        <f t="shared" si="1"/>
        <v>104.25999999999999</v>
      </c>
      <c r="H7">
        <f t="shared" si="0"/>
        <v>54.259999999999991</v>
      </c>
      <c r="M7" s="2"/>
      <c r="N7" s="2"/>
      <c r="O7" s="2"/>
      <c r="P7" s="3"/>
      <c r="Q7" s="3"/>
      <c r="R7" s="3"/>
      <c r="V7">
        <v>65</v>
      </c>
      <c r="X7">
        <v>100</v>
      </c>
    </row>
    <row r="8" spans="1:30" x14ac:dyDescent="0.3">
      <c r="A8" t="s">
        <v>33</v>
      </c>
      <c r="B8">
        <v>5.01</v>
      </c>
      <c r="C8" t="s">
        <v>23</v>
      </c>
      <c r="D8" t="s">
        <v>24</v>
      </c>
      <c r="F8">
        <v>21.5</v>
      </c>
      <c r="G8">
        <f t="shared" si="1"/>
        <v>104.47499999999998</v>
      </c>
      <c r="H8">
        <f t="shared" si="0"/>
        <v>54.374999999999986</v>
      </c>
      <c r="M8" s="2"/>
      <c r="N8" s="2"/>
      <c r="O8" s="2"/>
      <c r="P8" s="3"/>
      <c r="Q8" s="3"/>
      <c r="R8" s="3"/>
      <c r="V8">
        <v>65</v>
      </c>
      <c r="X8">
        <v>100</v>
      </c>
    </row>
    <row r="9" spans="1:30" x14ac:dyDescent="0.3">
      <c r="A9" t="s">
        <v>33</v>
      </c>
      <c r="B9">
        <v>8</v>
      </c>
      <c r="C9" t="s">
        <v>23</v>
      </c>
      <c r="D9" t="s">
        <v>24</v>
      </c>
      <c r="F9">
        <v>21.5</v>
      </c>
      <c r="G9">
        <f t="shared" si="1"/>
        <v>168.76</v>
      </c>
      <c r="H9">
        <f t="shared" si="0"/>
        <v>88.759999999999991</v>
      </c>
      <c r="M9" s="2"/>
      <c r="N9" s="2"/>
      <c r="O9" s="2"/>
      <c r="P9" s="3"/>
      <c r="Q9" s="3"/>
      <c r="R9" s="3"/>
      <c r="V9">
        <v>70</v>
      </c>
      <c r="X9">
        <v>120</v>
      </c>
    </row>
    <row r="10" spans="1:30" x14ac:dyDescent="0.3">
      <c r="A10" t="s">
        <v>33</v>
      </c>
      <c r="B10">
        <v>8.01</v>
      </c>
      <c r="C10" t="s">
        <v>23</v>
      </c>
      <c r="D10" t="s">
        <v>25</v>
      </c>
      <c r="F10">
        <v>21.3</v>
      </c>
      <c r="G10">
        <f t="shared" si="1"/>
        <v>168.97299999999998</v>
      </c>
      <c r="H10">
        <f t="shared" si="0"/>
        <v>88.87299999999999</v>
      </c>
      <c r="M10" s="2">
        <v>2</v>
      </c>
      <c r="N10" s="2"/>
      <c r="O10" s="2">
        <v>40</v>
      </c>
      <c r="P10" s="3"/>
      <c r="Q10" s="3"/>
      <c r="R10" s="3"/>
      <c r="Y10">
        <v>100</v>
      </c>
      <c r="AA10">
        <v>100</v>
      </c>
      <c r="AB10">
        <v>46.6</v>
      </c>
      <c r="AD10">
        <v>46.6</v>
      </c>
    </row>
    <row r="11" spans="1:30" x14ac:dyDescent="0.3">
      <c r="A11" t="s">
        <v>33</v>
      </c>
      <c r="B11">
        <v>9.5</v>
      </c>
      <c r="C11" t="s">
        <v>23</v>
      </c>
      <c r="D11" t="s">
        <v>25</v>
      </c>
      <c r="F11">
        <v>21.3</v>
      </c>
      <c r="G11">
        <f t="shared" si="1"/>
        <v>200.70999999999998</v>
      </c>
      <c r="H11">
        <f t="shared" si="0"/>
        <v>105.70999999999998</v>
      </c>
      <c r="M11" s="2">
        <v>100</v>
      </c>
      <c r="N11" s="2"/>
      <c r="O11" s="2">
        <v>110</v>
      </c>
      <c r="P11" s="3"/>
      <c r="Q11" s="3"/>
      <c r="R11" s="2"/>
      <c r="Y11">
        <v>100</v>
      </c>
      <c r="AA11">
        <v>100</v>
      </c>
      <c r="AB11">
        <v>46.6</v>
      </c>
      <c r="AD11">
        <v>46.6</v>
      </c>
    </row>
    <row r="12" spans="1:30" x14ac:dyDescent="0.3">
      <c r="A12" t="s">
        <v>33</v>
      </c>
      <c r="B12">
        <v>9.51</v>
      </c>
      <c r="C12" t="s">
        <v>23</v>
      </c>
      <c r="D12" t="s">
        <v>25</v>
      </c>
      <c r="F12">
        <v>21.3</v>
      </c>
      <c r="G12">
        <f t="shared" si="1"/>
        <v>200.92299999999997</v>
      </c>
      <c r="H12">
        <f t="shared" si="0"/>
        <v>105.82299999999998</v>
      </c>
      <c r="M12" s="2">
        <v>100</v>
      </c>
      <c r="N12" s="2"/>
      <c r="O12" s="2">
        <v>110</v>
      </c>
      <c r="P12" s="3"/>
      <c r="Q12" s="3"/>
      <c r="R12" s="2"/>
      <c r="Y12">
        <v>100</v>
      </c>
      <c r="AA12">
        <v>100</v>
      </c>
      <c r="AB12">
        <v>46.6</v>
      </c>
      <c r="AD12">
        <v>46.6</v>
      </c>
    </row>
    <row r="13" spans="1:30" x14ac:dyDescent="0.3">
      <c r="A13" t="s">
        <v>33</v>
      </c>
      <c r="B13">
        <v>12.8</v>
      </c>
      <c r="C13" t="s">
        <v>23</v>
      </c>
      <c r="D13" t="s">
        <v>25</v>
      </c>
      <c r="F13">
        <v>21.3</v>
      </c>
      <c r="G13">
        <f t="shared" si="1"/>
        <v>271</v>
      </c>
      <c r="H13">
        <f t="shared" si="0"/>
        <v>143</v>
      </c>
      <c r="M13" s="2">
        <v>55</v>
      </c>
      <c r="N13" s="2"/>
      <c r="O13" s="2">
        <v>110</v>
      </c>
      <c r="P13" s="3"/>
      <c r="Q13" s="3"/>
      <c r="R13" s="3"/>
      <c r="Y13">
        <v>100</v>
      </c>
      <c r="AA13">
        <v>100</v>
      </c>
      <c r="AB13">
        <v>46.6</v>
      </c>
      <c r="AD13">
        <v>46.6</v>
      </c>
    </row>
    <row r="14" spans="1:30" x14ac:dyDescent="0.3">
      <c r="A14" t="s">
        <v>33</v>
      </c>
      <c r="B14">
        <v>12.81</v>
      </c>
      <c r="C14" t="s">
        <v>23</v>
      </c>
      <c r="D14" t="s">
        <v>24</v>
      </c>
      <c r="F14">
        <v>21.4</v>
      </c>
      <c r="G14">
        <f t="shared" si="1"/>
        <v>271.214</v>
      </c>
      <c r="H14">
        <f t="shared" si="0"/>
        <v>143.114</v>
      </c>
      <c r="M14" s="2"/>
      <c r="N14" s="2"/>
      <c r="O14" s="2"/>
      <c r="P14" s="3"/>
      <c r="Q14" s="3"/>
      <c r="R14" s="3"/>
      <c r="V14">
        <v>350</v>
      </c>
      <c r="X14">
        <v>600</v>
      </c>
    </row>
    <row r="15" spans="1:30" x14ac:dyDescent="0.3">
      <c r="A15" t="s">
        <v>33</v>
      </c>
      <c r="B15">
        <v>20</v>
      </c>
      <c r="C15" t="s">
        <v>23</v>
      </c>
      <c r="D15" t="s">
        <v>24</v>
      </c>
      <c r="F15">
        <v>21.4</v>
      </c>
      <c r="G15">
        <f t="shared" si="1"/>
        <v>425.08</v>
      </c>
      <c r="H15">
        <f t="shared" si="0"/>
        <v>225.07999999999998</v>
      </c>
      <c r="M15" s="2"/>
      <c r="N15" s="2"/>
      <c r="O15" s="2"/>
      <c r="P15" s="3"/>
      <c r="Q15" s="3"/>
      <c r="R15" s="3"/>
      <c r="V15">
        <v>350</v>
      </c>
      <c r="X15">
        <v>600</v>
      </c>
    </row>
    <row r="16" spans="1:30" x14ac:dyDescent="0.3">
      <c r="A16" t="s">
        <v>33</v>
      </c>
      <c r="B16">
        <v>20.010000000000002</v>
      </c>
      <c r="C16" t="s">
        <v>23</v>
      </c>
      <c r="D16" t="s">
        <v>24</v>
      </c>
      <c r="F16">
        <v>21.4</v>
      </c>
      <c r="G16">
        <f t="shared" si="1"/>
        <v>425.29400000000004</v>
      </c>
      <c r="H16">
        <f t="shared" si="0"/>
        <v>225.19400000000002</v>
      </c>
      <c r="M16" s="2"/>
      <c r="N16" s="2"/>
      <c r="O16" s="2"/>
      <c r="P16" s="3"/>
      <c r="Q16" s="3"/>
      <c r="R16" s="3"/>
      <c r="V16">
        <v>350</v>
      </c>
      <c r="X16">
        <v>600</v>
      </c>
    </row>
    <row r="17" spans="1:24" x14ac:dyDescent="0.3">
      <c r="A17" t="s">
        <v>33</v>
      </c>
      <c r="B17">
        <v>25</v>
      </c>
      <c r="C17" t="s">
        <v>23</v>
      </c>
      <c r="D17" t="s">
        <v>24</v>
      </c>
      <c r="F17">
        <v>21.4</v>
      </c>
      <c r="G17">
        <f t="shared" si="1"/>
        <v>532.08000000000004</v>
      </c>
      <c r="H17">
        <f t="shared" si="0"/>
        <v>282.08000000000004</v>
      </c>
      <c r="M17" s="2"/>
      <c r="N17" s="2"/>
      <c r="O17" s="2"/>
      <c r="P17" s="3"/>
      <c r="Q17" s="3"/>
      <c r="R17" s="3"/>
      <c r="V17">
        <v>260</v>
      </c>
      <c r="X17">
        <v>600</v>
      </c>
    </row>
    <row r="18" spans="1:24" x14ac:dyDescent="0.3">
      <c r="A18" t="s">
        <v>33</v>
      </c>
      <c r="B18">
        <v>25.01</v>
      </c>
      <c r="C18" t="s">
        <v>23</v>
      </c>
      <c r="D18" t="s">
        <v>24</v>
      </c>
      <c r="F18">
        <v>21.4</v>
      </c>
      <c r="G18">
        <f t="shared" si="1"/>
        <v>532.2940000000001</v>
      </c>
      <c r="H18">
        <f t="shared" si="0"/>
        <v>282.19400000000007</v>
      </c>
      <c r="M18" s="2"/>
      <c r="N18" s="2"/>
      <c r="O18" s="2"/>
      <c r="P18" s="3"/>
      <c r="Q18" s="3"/>
      <c r="R18" s="3"/>
      <c r="V18">
        <v>260</v>
      </c>
      <c r="X18">
        <v>600</v>
      </c>
    </row>
    <row r="19" spans="1:24" x14ac:dyDescent="0.3">
      <c r="A19" t="s">
        <v>33</v>
      </c>
      <c r="B19">
        <v>39</v>
      </c>
      <c r="C19" t="s">
        <v>23</v>
      </c>
      <c r="D19" t="s">
        <v>24</v>
      </c>
      <c r="F19">
        <v>21.4</v>
      </c>
      <c r="G19">
        <f t="shared" si="1"/>
        <v>831.68000000000006</v>
      </c>
      <c r="H19">
        <f t="shared" si="0"/>
        <v>441.68000000000006</v>
      </c>
      <c r="M19" s="2"/>
      <c r="N19" s="2"/>
      <c r="O19" s="2"/>
      <c r="P19" s="3"/>
      <c r="Q19" s="3"/>
      <c r="R19" s="3"/>
      <c r="V19">
        <v>260</v>
      </c>
      <c r="X19">
        <v>600</v>
      </c>
    </row>
    <row r="20" spans="1:24" x14ac:dyDescent="0.3">
      <c r="M20" s="2"/>
      <c r="N20" s="2"/>
      <c r="O20" s="2"/>
      <c r="P20" s="3"/>
      <c r="Q20" s="3"/>
      <c r="R20" s="3"/>
    </row>
    <row r="21" spans="1:24" x14ac:dyDescent="0.3">
      <c r="M21" s="2"/>
      <c r="N21" s="2"/>
      <c r="O21" s="2"/>
      <c r="P21" s="3"/>
      <c r="Q21" s="3"/>
      <c r="R21" s="3"/>
    </row>
    <row r="22" spans="1:24" x14ac:dyDescent="0.3">
      <c r="M22" s="2"/>
      <c r="N22" s="2"/>
      <c r="O22" s="2"/>
      <c r="P22" s="3"/>
      <c r="Q22" s="3"/>
      <c r="R22" s="3"/>
    </row>
    <row r="23" spans="1:24" x14ac:dyDescent="0.3">
      <c r="M23" s="2"/>
      <c r="N23" s="2"/>
      <c r="O23" s="2"/>
      <c r="P23" s="3"/>
      <c r="Q23" s="3"/>
      <c r="R23" s="3"/>
    </row>
    <row r="24" spans="1:24" x14ac:dyDescent="0.3">
      <c r="M24" s="2"/>
      <c r="N24" s="2"/>
      <c r="O24" s="2"/>
      <c r="P24" s="3"/>
      <c r="Q24" s="3"/>
      <c r="R24" s="3"/>
    </row>
    <row r="25" spans="1:24" x14ac:dyDescent="0.3">
      <c r="M25" s="2"/>
      <c r="N25" s="2"/>
      <c r="O25" s="2"/>
      <c r="P25" s="3"/>
      <c r="Q25" s="3"/>
      <c r="R25" s="3"/>
    </row>
    <row r="26" spans="1:24" x14ac:dyDescent="0.3">
      <c r="M26" s="2"/>
      <c r="N26" s="2"/>
      <c r="O26" s="2"/>
      <c r="P26" s="3"/>
      <c r="Q26" s="3"/>
      <c r="R26" s="3"/>
    </row>
    <row r="27" spans="1:24" x14ac:dyDescent="0.3">
      <c r="M27" s="2"/>
      <c r="N27" s="2"/>
      <c r="O27" s="2"/>
      <c r="P27" s="3"/>
      <c r="Q27" s="3"/>
      <c r="R27" s="3"/>
    </row>
    <row r="28" spans="1:24" x14ac:dyDescent="0.3">
      <c r="M28" s="2"/>
      <c r="N28" s="2"/>
      <c r="O28" s="2"/>
      <c r="P28" s="3"/>
      <c r="Q28" s="3"/>
      <c r="R28" s="3"/>
    </row>
    <row r="29" spans="1:24" x14ac:dyDescent="0.3">
      <c r="M29" s="2"/>
      <c r="N29" s="2"/>
      <c r="O29" s="2"/>
      <c r="P29" s="3"/>
      <c r="Q29" s="3"/>
      <c r="R29" s="3"/>
    </row>
    <row r="30" spans="1:24" x14ac:dyDescent="0.3">
      <c r="M30" s="2"/>
      <c r="N30" s="2"/>
      <c r="O30" s="2"/>
      <c r="P30" s="3"/>
      <c r="Q30" s="3"/>
      <c r="R30" s="3"/>
    </row>
    <row r="31" spans="1:24" x14ac:dyDescent="0.3">
      <c r="M31" s="2"/>
      <c r="N31" s="2"/>
      <c r="O31" s="2"/>
      <c r="P31" s="3"/>
      <c r="Q31" s="3"/>
      <c r="R31" s="3"/>
    </row>
    <row r="32" spans="1:24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2E24-9C5A-4D31-923E-AA6CAF12EFB1}">
  <dimension ref="A1:AD38"/>
  <sheetViews>
    <sheetView zoomScale="70" zoomScaleNormal="70" workbookViewId="0">
      <selection activeCell="AC8" sqref="AC8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G2-B2*10</f>
        <v>0.1</v>
      </c>
      <c r="M2" s="2">
        <v>0</v>
      </c>
      <c r="N2" s="2"/>
      <c r="O2" s="2">
        <v>0</v>
      </c>
      <c r="P2" s="3"/>
      <c r="Q2" s="3"/>
      <c r="R2" s="3"/>
      <c r="Y2">
        <v>20</v>
      </c>
      <c r="AA2">
        <v>20</v>
      </c>
      <c r="AB2">
        <v>35</v>
      </c>
      <c r="AD2">
        <v>35</v>
      </c>
    </row>
    <row r="3" spans="1:30" x14ac:dyDescent="0.3">
      <c r="A3" t="s">
        <v>33</v>
      </c>
      <c r="B3">
        <v>2</v>
      </c>
      <c r="C3" t="s">
        <v>23</v>
      </c>
      <c r="D3" t="s">
        <v>25</v>
      </c>
      <c r="F3">
        <v>20</v>
      </c>
      <c r="G3">
        <f>G2+F3*(B3-B2)</f>
        <v>40</v>
      </c>
      <c r="H3">
        <f t="shared" ref="H3:H19" si="0">G3-B3*10</f>
        <v>20</v>
      </c>
      <c r="M3" s="2">
        <v>0.5</v>
      </c>
      <c r="N3" s="2"/>
      <c r="O3" s="2">
        <v>0.5</v>
      </c>
      <c r="P3" s="3"/>
      <c r="Q3" s="3"/>
      <c r="R3" s="3"/>
      <c r="Y3">
        <v>20</v>
      </c>
      <c r="AA3">
        <v>20</v>
      </c>
      <c r="AB3">
        <v>35</v>
      </c>
      <c r="AD3">
        <v>35</v>
      </c>
    </row>
    <row r="4" spans="1:30" x14ac:dyDescent="0.3">
      <c r="A4" t="s">
        <v>33</v>
      </c>
      <c r="B4">
        <v>2.0099999999999998</v>
      </c>
      <c r="C4" t="s">
        <v>23</v>
      </c>
      <c r="D4" t="s">
        <v>25</v>
      </c>
      <c r="F4">
        <v>20</v>
      </c>
      <c r="G4">
        <f t="shared" ref="G4:G19" si="1">G3+F4*(B4-B3)</f>
        <v>40.199999999999996</v>
      </c>
      <c r="H4">
        <f t="shared" si="0"/>
        <v>20.099999999999998</v>
      </c>
      <c r="M4" s="2">
        <v>0.5</v>
      </c>
      <c r="N4" s="2"/>
      <c r="O4" s="2">
        <v>0.5</v>
      </c>
      <c r="P4" s="3"/>
      <c r="Q4" s="3"/>
      <c r="R4" s="3"/>
      <c r="Y4">
        <v>20</v>
      </c>
      <c r="AA4">
        <v>20</v>
      </c>
      <c r="AB4">
        <v>35</v>
      </c>
      <c r="AD4">
        <v>35</v>
      </c>
    </row>
    <row r="5" spans="1:30" x14ac:dyDescent="0.3">
      <c r="A5" t="s">
        <v>33</v>
      </c>
      <c r="B5">
        <v>2.5</v>
      </c>
      <c r="C5" t="s">
        <v>23</v>
      </c>
      <c r="D5" t="s">
        <v>25</v>
      </c>
      <c r="F5">
        <v>20</v>
      </c>
      <c r="G5">
        <f t="shared" si="1"/>
        <v>50</v>
      </c>
      <c r="H5">
        <f t="shared" si="0"/>
        <v>25</v>
      </c>
      <c r="M5" s="2">
        <v>0.5</v>
      </c>
      <c r="N5" s="2"/>
      <c r="O5" s="2">
        <v>0.5</v>
      </c>
      <c r="P5" s="3"/>
      <c r="Q5" s="3"/>
      <c r="R5" s="3"/>
      <c r="Y5">
        <v>20</v>
      </c>
      <c r="AA5">
        <v>20</v>
      </c>
      <c r="AB5">
        <v>35</v>
      </c>
      <c r="AD5">
        <v>35</v>
      </c>
    </row>
    <row r="6" spans="1:30" x14ac:dyDescent="0.3">
      <c r="A6" t="s">
        <v>33</v>
      </c>
      <c r="B6">
        <v>2.5099999999999998</v>
      </c>
      <c r="C6" t="s">
        <v>23</v>
      </c>
      <c r="D6" t="s">
        <v>24</v>
      </c>
      <c r="F6">
        <v>20</v>
      </c>
      <c r="G6">
        <f t="shared" si="1"/>
        <v>50.199999999999996</v>
      </c>
      <c r="H6">
        <f t="shared" si="0"/>
        <v>25.099999999999998</v>
      </c>
      <c r="M6" s="2"/>
      <c r="N6" s="2"/>
      <c r="O6" s="2"/>
      <c r="P6" s="3"/>
      <c r="Q6" s="3"/>
      <c r="R6" s="3"/>
      <c r="V6">
        <v>35</v>
      </c>
      <c r="X6" s="3">
        <v>60</v>
      </c>
    </row>
    <row r="7" spans="1:30" x14ac:dyDescent="0.3">
      <c r="A7" t="s">
        <v>33</v>
      </c>
      <c r="B7">
        <v>5</v>
      </c>
      <c r="C7" t="s">
        <v>23</v>
      </c>
      <c r="D7" t="s">
        <v>24</v>
      </c>
      <c r="F7">
        <v>20</v>
      </c>
      <c r="G7">
        <f t="shared" si="1"/>
        <v>100</v>
      </c>
      <c r="H7">
        <f t="shared" si="0"/>
        <v>50</v>
      </c>
      <c r="M7" s="2"/>
      <c r="N7" s="2"/>
      <c r="O7" s="2"/>
      <c r="P7" s="3"/>
      <c r="Q7" s="3"/>
      <c r="R7" s="3"/>
      <c r="V7">
        <v>65</v>
      </c>
      <c r="X7">
        <v>100</v>
      </c>
    </row>
    <row r="8" spans="1:30" x14ac:dyDescent="0.3">
      <c r="A8" t="s">
        <v>33</v>
      </c>
      <c r="B8">
        <v>5.01</v>
      </c>
      <c r="C8" t="s">
        <v>23</v>
      </c>
      <c r="D8" t="s">
        <v>24</v>
      </c>
      <c r="F8">
        <v>20</v>
      </c>
      <c r="G8">
        <f t="shared" si="1"/>
        <v>100.19999999999999</v>
      </c>
      <c r="H8">
        <f t="shared" si="0"/>
        <v>50.099999999999994</v>
      </c>
      <c r="M8" s="2"/>
      <c r="N8" s="2"/>
      <c r="O8" s="2"/>
      <c r="P8" s="3"/>
      <c r="Q8" s="3"/>
      <c r="R8" s="3"/>
      <c r="V8">
        <v>65</v>
      </c>
      <c r="X8">
        <v>100</v>
      </c>
    </row>
    <row r="9" spans="1:30" x14ac:dyDescent="0.3">
      <c r="A9" t="s">
        <v>33</v>
      </c>
      <c r="B9">
        <v>8</v>
      </c>
      <c r="C9" t="s">
        <v>23</v>
      </c>
      <c r="D9" t="s">
        <v>24</v>
      </c>
      <c r="F9">
        <v>20</v>
      </c>
      <c r="G9">
        <f t="shared" si="1"/>
        <v>160</v>
      </c>
      <c r="H9">
        <f t="shared" si="0"/>
        <v>80</v>
      </c>
      <c r="M9" s="2"/>
      <c r="N9" s="2"/>
      <c r="O9" s="2"/>
      <c r="P9" s="3"/>
      <c r="Q9" s="3"/>
      <c r="R9" s="3"/>
      <c r="V9">
        <v>70</v>
      </c>
      <c r="X9">
        <v>120</v>
      </c>
    </row>
    <row r="10" spans="1:30" x14ac:dyDescent="0.3">
      <c r="A10" t="s">
        <v>33</v>
      </c>
      <c r="B10">
        <v>8.01</v>
      </c>
      <c r="C10" t="s">
        <v>23</v>
      </c>
      <c r="D10" t="s">
        <v>25</v>
      </c>
      <c r="F10">
        <v>20</v>
      </c>
      <c r="G10">
        <f t="shared" si="1"/>
        <v>160.19999999999999</v>
      </c>
      <c r="H10">
        <f t="shared" si="0"/>
        <v>80.099999999999994</v>
      </c>
      <c r="M10" s="2">
        <v>2</v>
      </c>
      <c r="N10" s="2"/>
      <c r="O10" s="2">
        <v>40</v>
      </c>
      <c r="P10" s="3"/>
      <c r="Q10" s="3"/>
      <c r="R10" s="3"/>
      <c r="Y10">
        <v>100</v>
      </c>
      <c r="AA10">
        <v>100</v>
      </c>
      <c r="AB10">
        <v>35</v>
      </c>
      <c r="AD10">
        <v>35</v>
      </c>
    </row>
    <row r="11" spans="1:30" x14ac:dyDescent="0.3">
      <c r="A11" t="s">
        <v>33</v>
      </c>
      <c r="B11">
        <v>9.5</v>
      </c>
      <c r="C11" t="s">
        <v>23</v>
      </c>
      <c r="D11" t="s">
        <v>25</v>
      </c>
      <c r="F11">
        <v>20</v>
      </c>
      <c r="G11">
        <f t="shared" si="1"/>
        <v>190</v>
      </c>
      <c r="H11">
        <f t="shared" si="0"/>
        <v>95</v>
      </c>
      <c r="M11" s="2">
        <v>100</v>
      </c>
      <c r="N11" s="2"/>
      <c r="O11" s="2">
        <v>110</v>
      </c>
      <c r="P11" s="3"/>
      <c r="Q11" s="3"/>
      <c r="R11" s="2"/>
      <c r="Y11">
        <v>100</v>
      </c>
      <c r="AA11">
        <v>100</v>
      </c>
      <c r="AB11">
        <v>35</v>
      </c>
      <c r="AD11">
        <v>35</v>
      </c>
    </row>
    <row r="12" spans="1:30" x14ac:dyDescent="0.3">
      <c r="A12" t="s">
        <v>33</v>
      </c>
      <c r="B12">
        <v>9.51</v>
      </c>
      <c r="C12" t="s">
        <v>23</v>
      </c>
      <c r="D12" t="s">
        <v>25</v>
      </c>
      <c r="F12">
        <v>20</v>
      </c>
      <c r="G12">
        <f t="shared" si="1"/>
        <v>190.2</v>
      </c>
      <c r="H12">
        <f t="shared" si="0"/>
        <v>95.1</v>
      </c>
      <c r="M12" s="2">
        <v>100</v>
      </c>
      <c r="N12" s="2"/>
      <c r="O12" s="2">
        <v>110</v>
      </c>
      <c r="P12" s="3"/>
      <c r="Q12" s="3"/>
      <c r="R12" s="2"/>
      <c r="Y12">
        <v>100</v>
      </c>
      <c r="AA12">
        <v>100</v>
      </c>
      <c r="AB12">
        <v>35</v>
      </c>
      <c r="AD12">
        <v>35</v>
      </c>
    </row>
    <row r="13" spans="1:30" x14ac:dyDescent="0.3">
      <c r="A13" t="s">
        <v>33</v>
      </c>
      <c r="B13">
        <v>13</v>
      </c>
      <c r="C13" t="s">
        <v>23</v>
      </c>
      <c r="D13" t="s">
        <v>25</v>
      </c>
      <c r="F13">
        <v>20</v>
      </c>
      <c r="G13">
        <f t="shared" si="1"/>
        <v>260</v>
      </c>
      <c r="H13">
        <f t="shared" si="0"/>
        <v>130</v>
      </c>
      <c r="M13" s="2">
        <v>55</v>
      </c>
      <c r="N13" s="2"/>
      <c r="O13" s="2">
        <v>110</v>
      </c>
      <c r="P13" s="3"/>
      <c r="Q13" s="3"/>
      <c r="R13" s="3"/>
      <c r="Y13">
        <v>100</v>
      </c>
      <c r="AA13">
        <v>100</v>
      </c>
      <c r="AB13">
        <v>35</v>
      </c>
      <c r="AD13">
        <v>35</v>
      </c>
    </row>
    <row r="14" spans="1:30" x14ac:dyDescent="0.3">
      <c r="A14" t="s">
        <v>33</v>
      </c>
      <c r="B14">
        <v>13.01</v>
      </c>
      <c r="C14" t="s">
        <v>23</v>
      </c>
      <c r="D14" t="s">
        <v>24</v>
      </c>
      <c r="F14">
        <v>20</v>
      </c>
      <c r="G14">
        <f t="shared" si="1"/>
        <v>260.2</v>
      </c>
      <c r="H14">
        <f t="shared" si="0"/>
        <v>130.1</v>
      </c>
      <c r="M14" s="2"/>
      <c r="N14" s="2"/>
      <c r="O14" s="2"/>
      <c r="P14" s="3"/>
      <c r="Q14" s="3"/>
      <c r="R14" s="3"/>
      <c r="V14">
        <v>350</v>
      </c>
      <c r="X14">
        <v>600</v>
      </c>
    </row>
    <row r="15" spans="1:30" x14ac:dyDescent="0.3">
      <c r="A15" t="s">
        <v>33</v>
      </c>
      <c r="B15">
        <v>20</v>
      </c>
      <c r="C15" t="s">
        <v>23</v>
      </c>
      <c r="D15" t="s">
        <v>24</v>
      </c>
      <c r="F15">
        <v>20</v>
      </c>
      <c r="G15">
        <f t="shared" si="1"/>
        <v>400</v>
      </c>
      <c r="H15">
        <f t="shared" si="0"/>
        <v>200</v>
      </c>
      <c r="M15" s="2"/>
      <c r="N15" s="2"/>
      <c r="O15" s="2"/>
      <c r="P15" s="3"/>
      <c r="Q15" s="3"/>
      <c r="R15" s="3"/>
      <c r="V15">
        <v>350</v>
      </c>
      <c r="X15">
        <v>600</v>
      </c>
    </row>
    <row r="16" spans="1:30" x14ac:dyDescent="0.3">
      <c r="A16" t="s">
        <v>33</v>
      </c>
      <c r="B16">
        <v>20.010000000000002</v>
      </c>
      <c r="C16" t="s">
        <v>23</v>
      </c>
      <c r="D16" t="s">
        <v>24</v>
      </c>
      <c r="F16">
        <v>20</v>
      </c>
      <c r="G16">
        <f t="shared" si="1"/>
        <v>400.20000000000005</v>
      </c>
      <c r="H16">
        <f t="shared" si="0"/>
        <v>200.10000000000002</v>
      </c>
      <c r="M16" s="2"/>
      <c r="N16" s="2"/>
      <c r="O16" s="2"/>
      <c r="P16" s="3"/>
      <c r="Q16" s="3"/>
      <c r="R16" s="3"/>
      <c r="V16">
        <v>350</v>
      </c>
      <c r="X16">
        <v>600</v>
      </c>
    </row>
    <row r="17" spans="1:24" x14ac:dyDescent="0.3">
      <c r="A17" t="s">
        <v>33</v>
      </c>
      <c r="B17">
        <v>25</v>
      </c>
      <c r="C17" t="s">
        <v>23</v>
      </c>
      <c r="D17" t="s">
        <v>24</v>
      </c>
      <c r="F17">
        <v>20</v>
      </c>
      <c r="G17">
        <f t="shared" si="1"/>
        <v>500</v>
      </c>
      <c r="H17">
        <f t="shared" si="0"/>
        <v>250</v>
      </c>
      <c r="M17" s="2"/>
      <c r="N17" s="2"/>
      <c r="O17" s="2"/>
      <c r="P17" s="3"/>
      <c r="Q17" s="3"/>
      <c r="R17" s="3"/>
      <c r="V17">
        <v>260</v>
      </c>
      <c r="X17">
        <v>600</v>
      </c>
    </row>
    <row r="18" spans="1:24" x14ac:dyDescent="0.3">
      <c r="A18" t="s">
        <v>33</v>
      </c>
      <c r="B18">
        <v>25.01</v>
      </c>
      <c r="C18" t="s">
        <v>23</v>
      </c>
      <c r="D18" t="s">
        <v>24</v>
      </c>
      <c r="F18">
        <v>20</v>
      </c>
      <c r="G18">
        <f t="shared" si="1"/>
        <v>500.20000000000005</v>
      </c>
      <c r="H18">
        <f t="shared" si="0"/>
        <v>250.10000000000002</v>
      </c>
      <c r="M18" s="2"/>
      <c r="N18" s="2"/>
      <c r="O18" s="2"/>
      <c r="P18" s="3"/>
      <c r="Q18" s="3"/>
      <c r="R18" s="3"/>
      <c r="V18">
        <v>260</v>
      </c>
      <c r="X18">
        <v>600</v>
      </c>
    </row>
    <row r="19" spans="1:24" x14ac:dyDescent="0.3">
      <c r="A19" t="s">
        <v>33</v>
      </c>
      <c r="B19">
        <v>39</v>
      </c>
      <c r="C19" t="s">
        <v>23</v>
      </c>
      <c r="D19" t="s">
        <v>24</v>
      </c>
      <c r="F19">
        <v>20</v>
      </c>
      <c r="G19">
        <f t="shared" si="1"/>
        <v>780</v>
      </c>
      <c r="H19">
        <f t="shared" si="0"/>
        <v>390</v>
      </c>
      <c r="M19" s="2"/>
      <c r="N19" s="2"/>
      <c r="O19" s="2"/>
      <c r="P19" s="3"/>
      <c r="Q19" s="3"/>
      <c r="R19" s="3"/>
      <c r="V19">
        <v>260</v>
      </c>
      <c r="X19">
        <v>600</v>
      </c>
    </row>
    <row r="20" spans="1:24" x14ac:dyDescent="0.3">
      <c r="M20" s="2"/>
      <c r="N20" s="2"/>
      <c r="O20" s="2"/>
      <c r="P20" s="3"/>
      <c r="Q20" s="3"/>
      <c r="R20" s="3"/>
    </row>
    <row r="21" spans="1:24" x14ac:dyDescent="0.3">
      <c r="M21" s="2"/>
      <c r="N21" s="2"/>
      <c r="O21" s="2"/>
      <c r="P21" s="3"/>
      <c r="Q21" s="3"/>
      <c r="R21" s="3"/>
    </row>
    <row r="22" spans="1:24" x14ac:dyDescent="0.3">
      <c r="M22" s="2"/>
      <c r="N22" s="2"/>
      <c r="O22" s="2"/>
      <c r="P22" s="3"/>
      <c r="Q22" s="3"/>
      <c r="R22" s="3"/>
    </row>
    <row r="23" spans="1:24" x14ac:dyDescent="0.3">
      <c r="M23" s="2"/>
      <c r="N23" s="2"/>
      <c r="O23" s="2"/>
      <c r="P23" s="3"/>
      <c r="Q23" s="3"/>
      <c r="R23" s="3"/>
    </row>
    <row r="24" spans="1:24" x14ac:dyDescent="0.3">
      <c r="M24" s="2"/>
      <c r="N24" s="2"/>
      <c r="O24" s="2"/>
      <c r="P24" s="3"/>
      <c r="Q24" s="3"/>
      <c r="R24" s="3"/>
    </row>
    <row r="25" spans="1:24" x14ac:dyDescent="0.3">
      <c r="M25" s="2"/>
      <c r="N25" s="2"/>
      <c r="O25" s="2"/>
      <c r="P25" s="3"/>
      <c r="Q25" s="3"/>
      <c r="R25" s="3"/>
    </row>
    <row r="26" spans="1:24" x14ac:dyDescent="0.3">
      <c r="M26" s="2"/>
      <c r="N26" s="2"/>
      <c r="O26" s="2"/>
      <c r="P26" s="3"/>
      <c r="Q26" s="3"/>
      <c r="R26" s="3"/>
    </row>
    <row r="27" spans="1:24" x14ac:dyDescent="0.3">
      <c r="M27" s="2"/>
      <c r="N27" s="2"/>
      <c r="O27" s="2"/>
      <c r="P27" s="3"/>
      <c r="Q27" s="3"/>
      <c r="R27" s="3"/>
    </row>
    <row r="28" spans="1:24" x14ac:dyDescent="0.3">
      <c r="M28" s="2"/>
      <c r="N28" s="2"/>
      <c r="O28" s="2"/>
      <c r="P28" s="3"/>
      <c r="Q28" s="3"/>
      <c r="R28" s="3"/>
    </row>
    <row r="29" spans="1:24" x14ac:dyDescent="0.3">
      <c r="M29" s="2"/>
      <c r="N29" s="2"/>
      <c r="O29" s="2"/>
      <c r="P29" s="3"/>
      <c r="Q29" s="3"/>
      <c r="R29" s="3"/>
    </row>
    <row r="30" spans="1:24" x14ac:dyDescent="0.3">
      <c r="M30" s="2"/>
      <c r="N30" s="2"/>
      <c r="O30" s="2"/>
      <c r="P30" s="3"/>
      <c r="Q30" s="3"/>
      <c r="R30" s="3"/>
    </row>
    <row r="31" spans="1:24" x14ac:dyDescent="0.3">
      <c r="M31" s="2"/>
      <c r="N31" s="2"/>
      <c r="O31" s="2"/>
      <c r="P31" s="3"/>
      <c r="Q31" s="3"/>
      <c r="R31" s="3"/>
    </row>
    <row r="32" spans="1:24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9A45-40A0-47B1-A94F-8D9F5665EB1A}">
  <dimension ref="A1:AE36"/>
  <sheetViews>
    <sheetView zoomScale="70" zoomScaleNormal="70" workbookViewId="0">
      <selection activeCell="M18" sqref="M18"/>
    </sheetView>
  </sheetViews>
  <sheetFormatPr defaultRowHeight="15.05" x14ac:dyDescent="0.3"/>
  <cols>
    <col min="6" max="6" width="10.77734375" bestFit="1" customWidth="1"/>
    <col min="7" max="7" width="10.77734375" customWidth="1"/>
  </cols>
  <sheetData>
    <row r="1" spans="1:31" x14ac:dyDescent="0.3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32</v>
      </c>
      <c r="H1" s="1" t="s">
        <v>5</v>
      </c>
      <c r="I1" s="1" t="s">
        <v>6</v>
      </c>
      <c r="J1" s="1" t="s">
        <v>7</v>
      </c>
      <c r="K1" s="1" t="s">
        <v>29</v>
      </c>
      <c r="L1" s="1" t="s">
        <v>30</v>
      </c>
      <c r="M1" s="1" t="s">
        <v>31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33</v>
      </c>
      <c r="B2">
        <v>2.0099999999999998</v>
      </c>
      <c r="C2">
        <f>B2-2</f>
        <v>9.9999999999997868E-3</v>
      </c>
      <c r="D2" t="s">
        <v>23</v>
      </c>
      <c r="E2" t="s">
        <v>25</v>
      </c>
      <c r="G2">
        <v>20.3</v>
      </c>
      <c r="H2">
        <f>G2*C2</f>
        <v>0.20299999999999568</v>
      </c>
      <c r="I2">
        <f>H2-C2*10</f>
        <v>0.10299999999999782</v>
      </c>
      <c r="N2" s="2">
        <v>0.5</v>
      </c>
      <c r="O2" s="2"/>
      <c r="P2" s="2">
        <v>0.5</v>
      </c>
      <c r="Q2" s="3"/>
      <c r="R2" s="3"/>
      <c r="S2" s="3"/>
      <c r="Z2">
        <v>20</v>
      </c>
      <c r="AB2">
        <v>20</v>
      </c>
      <c r="AC2">
        <v>33.700000000000003</v>
      </c>
      <c r="AE2">
        <v>33.700000000000003</v>
      </c>
    </row>
    <row r="3" spans="1:31" x14ac:dyDescent="0.3">
      <c r="A3" t="s">
        <v>33</v>
      </c>
      <c r="B3">
        <v>2.5</v>
      </c>
      <c r="C3">
        <f t="shared" ref="C3:C17" si="0">B3-2</f>
        <v>0.5</v>
      </c>
      <c r="D3" t="s">
        <v>23</v>
      </c>
      <c r="E3" t="s">
        <v>25</v>
      </c>
      <c r="G3">
        <v>20.3</v>
      </c>
      <c r="H3">
        <f>H2+G3*(C3-C2)</f>
        <v>10.15</v>
      </c>
      <c r="I3">
        <f t="shared" ref="I3:I17" si="1">H3-C3*10</f>
        <v>5.15</v>
      </c>
      <c r="N3" s="2">
        <v>0.5</v>
      </c>
      <c r="O3" s="2"/>
      <c r="P3" s="2">
        <v>0.5</v>
      </c>
      <c r="Q3" s="3"/>
      <c r="R3" s="3"/>
      <c r="S3" s="3"/>
      <c r="Z3">
        <v>20</v>
      </c>
      <c r="AB3">
        <v>20</v>
      </c>
      <c r="AC3">
        <v>33.700000000000003</v>
      </c>
      <c r="AE3">
        <v>33.700000000000003</v>
      </c>
    </row>
    <row r="4" spans="1:31" x14ac:dyDescent="0.3">
      <c r="A4" t="s">
        <v>33</v>
      </c>
      <c r="B4">
        <v>2.5099999999999998</v>
      </c>
      <c r="C4">
        <f t="shared" si="0"/>
        <v>0.50999999999999979</v>
      </c>
      <c r="D4" t="s">
        <v>23</v>
      </c>
      <c r="E4" t="s">
        <v>24</v>
      </c>
      <c r="G4">
        <v>21.5</v>
      </c>
      <c r="H4">
        <f t="shared" ref="H4:H17" si="2">H3+G4*(C4-C3)</f>
        <v>10.364999999999995</v>
      </c>
      <c r="I4">
        <f t="shared" si="1"/>
        <v>5.264999999999997</v>
      </c>
      <c r="N4" s="2"/>
      <c r="O4" s="2"/>
      <c r="P4" s="2"/>
      <c r="Q4" s="3"/>
      <c r="R4" s="3"/>
      <c r="S4" s="3"/>
      <c r="W4">
        <v>35</v>
      </c>
      <c r="Y4" s="3">
        <v>60</v>
      </c>
    </row>
    <row r="5" spans="1:31" x14ac:dyDescent="0.3">
      <c r="A5" t="s">
        <v>33</v>
      </c>
      <c r="B5">
        <v>5</v>
      </c>
      <c r="C5">
        <f t="shared" si="0"/>
        <v>3</v>
      </c>
      <c r="D5" t="s">
        <v>23</v>
      </c>
      <c r="E5" t="s">
        <v>24</v>
      </c>
      <c r="G5">
        <v>21.5</v>
      </c>
      <c r="H5">
        <f t="shared" si="2"/>
        <v>63.9</v>
      </c>
      <c r="I5">
        <f t="shared" si="1"/>
        <v>33.9</v>
      </c>
      <c r="N5" s="2"/>
      <c r="O5" s="2"/>
      <c r="P5" s="2"/>
      <c r="Q5" s="3"/>
      <c r="R5" s="3"/>
      <c r="S5" s="3"/>
      <c r="W5">
        <v>65</v>
      </c>
      <c r="Y5">
        <v>100</v>
      </c>
    </row>
    <row r="6" spans="1:31" x14ac:dyDescent="0.3">
      <c r="A6" t="s">
        <v>33</v>
      </c>
      <c r="B6">
        <v>5.01</v>
      </c>
      <c r="C6">
        <f t="shared" si="0"/>
        <v>3.01</v>
      </c>
      <c r="D6" t="s">
        <v>23</v>
      </c>
      <c r="E6" t="s">
        <v>24</v>
      </c>
      <c r="G6">
        <v>21.5</v>
      </c>
      <c r="H6">
        <f t="shared" si="2"/>
        <v>64.114999999999995</v>
      </c>
      <c r="I6">
        <f t="shared" si="1"/>
        <v>34.015000000000001</v>
      </c>
      <c r="N6" s="2"/>
      <c r="O6" s="2"/>
      <c r="P6" s="2"/>
      <c r="Q6" s="3"/>
      <c r="R6" s="3"/>
      <c r="S6" s="3"/>
      <c r="W6">
        <v>65</v>
      </c>
      <c r="Y6">
        <v>100</v>
      </c>
    </row>
    <row r="7" spans="1:31" x14ac:dyDescent="0.3">
      <c r="A7" t="s">
        <v>33</v>
      </c>
      <c r="B7">
        <v>8</v>
      </c>
      <c r="C7">
        <f t="shared" si="0"/>
        <v>6</v>
      </c>
      <c r="D7" t="s">
        <v>23</v>
      </c>
      <c r="E7" t="s">
        <v>24</v>
      </c>
      <c r="G7">
        <v>21.5</v>
      </c>
      <c r="H7">
        <f t="shared" si="2"/>
        <v>128.4</v>
      </c>
      <c r="I7">
        <f t="shared" si="1"/>
        <v>68.400000000000006</v>
      </c>
      <c r="N7" s="2"/>
      <c r="O7" s="2"/>
      <c r="P7" s="2"/>
      <c r="Q7" s="3"/>
      <c r="R7" s="3"/>
      <c r="S7" s="3"/>
      <c r="W7">
        <v>70</v>
      </c>
      <c r="Y7">
        <v>120</v>
      </c>
    </row>
    <row r="8" spans="1:31" x14ac:dyDescent="0.3">
      <c r="A8" t="s">
        <v>33</v>
      </c>
      <c r="B8">
        <v>8.01</v>
      </c>
      <c r="C8">
        <f t="shared" si="0"/>
        <v>6.01</v>
      </c>
      <c r="D8" t="s">
        <v>23</v>
      </c>
      <c r="E8" t="s">
        <v>25</v>
      </c>
      <c r="G8">
        <v>21.3</v>
      </c>
      <c r="H8">
        <f t="shared" si="2"/>
        <v>128.613</v>
      </c>
      <c r="I8">
        <f t="shared" si="1"/>
        <v>68.513000000000005</v>
      </c>
      <c r="N8" s="2">
        <v>2</v>
      </c>
      <c r="O8" s="2"/>
      <c r="P8" s="2">
        <v>40</v>
      </c>
      <c r="Q8" s="3"/>
      <c r="R8" s="3"/>
      <c r="S8" s="3"/>
      <c r="Z8">
        <v>100</v>
      </c>
      <c r="AB8">
        <v>100</v>
      </c>
      <c r="AC8">
        <v>46.6</v>
      </c>
      <c r="AE8">
        <v>46.6</v>
      </c>
    </row>
    <row r="9" spans="1:31" x14ac:dyDescent="0.3">
      <c r="A9" t="s">
        <v>33</v>
      </c>
      <c r="B9">
        <v>9.5</v>
      </c>
      <c r="C9">
        <f t="shared" si="0"/>
        <v>7.5</v>
      </c>
      <c r="D9" t="s">
        <v>23</v>
      </c>
      <c r="E9" t="s">
        <v>25</v>
      </c>
      <c r="G9">
        <v>21.3</v>
      </c>
      <c r="H9">
        <f t="shared" si="2"/>
        <v>160.35</v>
      </c>
      <c r="I9">
        <f t="shared" si="1"/>
        <v>85.35</v>
      </c>
      <c r="N9" s="2">
        <v>100</v>
      </c>
      <c r="O9" s="2"/>
      <c r="P9" s="2">
        <v>110</v>
      </c>
      <c r="Q9" s="3"/>
      <c r="R9" s="3"/>
      <c r="S9" s="2"/>
      <c r="Z9">
        <v>100</v>
      </c>
      <c r="AB9">
        <v>100</v>
      </c>
      <c r="AC9">
        <v>46.6</v>
      </c>
      <c r="AE9">
        <v>46.6</v>
      </c>
    </row>
    <row r="10" spans="1:31" x14ac:dyDescent="0.3">
      <c r="A10" t="s">
        <v>33</v>
      </c>
      <c r="B10">
        <v>9.51</v>
      </c>
      <c r="C10">
        <f t="shared" si="0"/>
        <v>7.51</v>
      </c>
      <c r="D10" t="s">
        <v>23</v>
      </c>
      <c r="E10" t="s">
        <v>25</v>
      </c>
      <c r="G10">
        <v>21.3</v>
      </c>
      <c r="H10">
        <f t="shared" si="2"/>
        <v>160.56299999999999</v>
      </c>
      <c r="I10">
        <f t="shared" si="1"/>
        <v>85.462999999999994</v>
      </c>
      <c r="N10" s="2">
        <v>100</v>
      </c>
      <c r="O10" s="2"/>
      <c r="P10" s="2">
        <v>110</v>
      </c>
      <c r="Q10" s="3"/>
      <c r="R10" s="3"/>
      <c r="S10" s="2"/>
      <c r="Z10">
        <v>100</v>
      </c>
      <c r="AB10">
        <v>100</v>
      </c>
      <c r="AC10">
        <v>46.6</v>
      </c>
      <c r="AE10">
        <v>46.6</v>
      </c>
    </row>
    <row r="11" spans="1:31" x14ac:dyDescent="0.3">
      <c r="A11" t="s">
        <v>33</v>
      </c>
      <c r="B11">
        <v>13</v>
      </c>
      <c r="C11">
        <f t="shared" si="0"/>
        <v>11</v>
      </c>
      <c r="D11" t="s">
        <v>23</v>
      </c>
      <c r="E11" t="s">
        <v>25</v>
      </c>
      <c r="G11">
        <v>21.3</v>
      </c>
      <c r="H11">
        <f t="shared" si="2"/>
        <v>234.89999999999998</v>
      </c>
      <c r="I11">
        <f t="shared" si="1"/>
        <v>124.89999999999998</v>
      </c>
      <c r="N11" s="2">
        <v>55</v>
      </c>
      <c r="O11" s="2"/>
      <c r="P11" s="2">
        <v>110</v>
      </c>
      <c r="Q11" s="3"/>
      <c r="R11" s="3"/>
      <c r="S11" s="3"/>
      <c r="Z11">
        <v>100</v>
      </c>
      <c r="AB11">
        <v>100</v>
      </c>
      <c r="AC11">
        <v>46.6</v>
      </c>
      <c r="AE11">
        <v>46.6</v>
      </c>
    </row>
    <row r="12" spans="1:31" x14ac:dyDescent="0.3">
      <c r="A12" t="s">
        <v>33</v>
      </c>
      <c r="B12">
        <v>13.01</v>
      </c>
      <c r="C12">
        <f t="shared" si="0"/>
        <v>11.01</v>
      </c>
      <c r="D12" t="s">
        <v>23</v>
      </c>
      <c r="E12" t="s">
        <v>24</v>
      </c>
      <c r="G12">
        <v>21.4</v>
      </c>
      <c r="H12">
        <f t="shared" si="2"/>
        <v>235.11399999999998</v>
      </c>
      <c r="I12">
        <f t="shared" si="1"/>
        <v>125.01399999999998</v>
      </c>
      <c r="N12" s="2"/>
      <c r="O12" s="2"/>
      <c r="P12" s="2"/>
      <c r="Q12" s="3"/>
      <c r="R12" s="3"/>
      <c r="S12" s="3"/>
      <c r="W12">
        <v>350</v>
      </c>
      <c r="Y12">
        <v>600</v>
      </c>
    </row>
    <row r="13" spans="1:31" x14ac:dyDescent="0.3">
      <c r="A13" t="s">
        <v>33</v>
      </c>
      <c r="B13">
        <v>20</v>
      </c>
      <c r="C13">
        <f t="shared" si="0"/>
        <v>18</v>
      </c>
      <c r="D13" t="s">
        <v>23</v>
      </c>
      <c r="E13" t="s">
        <v>24</v>
      </c>
      <c r="G13">
        <v>21.4</v>
      </c>
      <c r="H13">
        <f t="shared" si="2"/>
        <v>384.69999999999993</v>
      </c>
      <c r="I13">
        <f t="shared" si="1"/>
        <v>204.69999999999993</v>
      </c>
      <c r="N13" s="2"/>
      <c r="O13" s="2"/>
      <c r="P13" s="2"/>
      <c r="Q13" s="3"/>
      <c r="R13" s="3"/>
      <c r="S13" s="3"/>
      <c r="W13">
        <v>350</v>
      </c>
      <c r="Y13">
        <v>600</v>
      </c>
    </row>
    <row r="14" spans="1:31" x14ac:dyDescent="0.3">
      <c r="A14" t="s">
        <v>33</v>
      </c>
      <c r="B14">
        <v>20.010000000000002</v>
      </c>
      <c r="C14">
        <f t="shared" si="0"/>
        <v>18.010000000000002</v>
      </c>
      <c r="D14" t="s">
        <v>23</v>
      </c>
      <c r="E14" t="s">
        <v>24</v>
      </c>
      <c r="G14">
        <v>21.4</v>
      </c>
      <c r="H14">
        <f t="shared" si="2"/>
        <v>384.91399999999999</v>
      </c>
      <c r="I14">
        <f t="shared" si="1"/>
        <v>204.81399999999996</v>
      </c>
      <c r="N14" s="2"/>
      <c r="O14" s="2"/>
      <c r="P14" s="2"/>
      <c r="Q14" s="3"/>
      <c r="R14" s="3"/>
      <c r="S14" s="3"/>
      <c r="W14">
        <v>350</v>
      </c>
      <c r="Y14">
        <v>600</v>
      </c>
    </row>
    <row r="15" spans="1:31" x14ac:dyDescent="0.3">
      <c r="A15" t="s">
        <v>33</v>
      </c>
      <c r="B15">
        <v>25</v>
      </c>
      <c r="C15">
        <f t="shared" si="0"/>
        <v>23</v>
      </c>
      <c r="D15" t="s">
        <v>23</v>
      </c>
      <c r="E15" t="s">
        <v>24</v>
      </c>
      <c r="G15">
        <v>21.4</v>
      </c>
      <c r="H15">
        <f t="shared" si="2"/>
        <v>491.69999999999993</v>
      </c>
      <c r="I15">
        <f t="shared" si="1"/>
        <v>261.69999999999993</v>
      </c>
      <c r="N15" s="2"/>
      <c r="O15" s="2"/>
      <c r="P15" s="2"/>
      <c r="Q15" s="3"/>
      <c r="R15" s="3"/>
      <c r="S15" s="3"/>
      <c r="W15">
        <v>260</v>
      </c>
      <c r="Y15">
        <v>600</v>
      </c>
    </row>
    <row r="16" spans="1:31" x14ac:dyDescent="0.3">
      <c r="A16" t="s">
        <v>33</v>
      </c>
      <c r="B16">
        <v>25.01</v>
      </c>
      <c r="C16">
        <f t="shared" si="0"/>
        <v>23.01</v>
      </c>
      <c r="D16" t="s">
        <v>23</v>
      </c>
      <c r="E16" t="s">
        <v>24</v>
      </c>
      <c r="G16">
        <v>21.4</v>
      </c>
      <c r="H16">
        <f t="shared" si="2"/>
        <v>491.91399999999999</v>
      </c>
      <c r="I16">
        <f t="shared" si="1"/>
        <v>261.81399999999996</v>
      </c>
      <c r="N16" s="2"/>
      <c r="O16" s="2"/>
      <c r="P16" s="2"/>
      <c r="Q16" s="3"/>
      <c r="R16" s="3"/>
      <c r="S16" s="3"/>
      <c r="W16">
        <v>260</v>
      </c>
      <c r="Y16">
        <v>600</v>
      </c>
    </row>
    <row r="17" spans="1:25" x14ac:dyDescent="0.3">
      <c r="A17" t="s">
        <v>33</v>
      </c>
      <c r="B17">
        <v>39</v>
      </c>
      <c r="C17">
        <f t="shared" si="0"/>
        <v>37</v>
      </c>
      <c r="D17" t="s">
        <v>23</v>
      </c>
      <c r="E17" t="s">
        <v>24</v>
      </c>
      <c r="G17">
        <v>21.4</v>
      </c>
      <c r="H17">
        <f t="shared" si="2"/>
        <v>791.3</v>
      </c>
      <c r="I17">
        <f t="shared" si="1"/>
        <v>421.29999999999995</v>
      </c>
      <c r="N17" s="2"/>
      <c r="O17" s="2"/>
      <c r="P17" s="2"/>
      <c r="Q17" s="3"/>
      <c r="R17" s="3"/>
      <c r="S17" s="3"/>
      <c r="W17">
        <v>260</v>
      </c>
      <c r="Y17">
        <v>600</v>
      </c>
    </row>
    <row r="18" spans="1:25" x14ac:dyDescent="0.3">
      <c r="N18" s="2"/>
      <c r="O18" s="2"/>
      <c r="P18" s="2"/>
      <c r="Q18" s="3"/>
      <c r="R18" s="3"/>
      <c r="S18" s="3"/>
    </row>
    <row r="19" spans="1:25" x14ac:dyDescent="0.3">
      <c r="N19" s="2"/>
      <c r="O19" s="2"/>
      <c r="P19" s="2"/>
      <c r="Q19" s="3"/>
      <c r="R19" s="3"/>
      <c r="S19" s="3"/>
    </row>
    <row r="20" spans="1:25" x14ac:dyDescent="0.3">
      <c r="N20" s="2"/>
      <c r="O20" s="2"/>
      <c r="P20" s="2"/>
      <c r="Q20" s="3"/>
      <c r="R20" s="3"/>
      <c r="S20" s="3"/>
    </row>
    <row r="21" spans="1:25" x14ac:dyDescent="0.3">
      <c r="N21" s="2"/>
      <c r="O21" s="2"/>
      <c r="P21" s="2"/>
      <c r="Q21" s="3"/>
      <c r="R21" s="3"/>
      <c r="S21" s="3"/>
    </row>
    <row r="22" spans="1:25" x14ac:dyDescent="0.3">
      <c r="N22" s="2"/>
      <c r="O22" s="2"/>
      <c r="P22" s="2"/>
      <c r="Q22" s="3"/>
      <c r="R22" s="3"/>
      <c r="S22" s="3"/>
    </row>
    <row r="23" spans="1:25" x14ac:dyDescent="0.3">
      <c r="N23" s="2"/>
      <c r="O23" s="2"/>
      <c r="P23" s="2"/>
      <c r="Q23" s="3"/>
      <c r="R23" s="3"/>
      <c r="S23" s="3"/>
    </row>
    <row r="24" spans="1:25" x14ac:dyDescent="0.3">
      <c r="N24" s="2"/>
      <c r="O24" s="2"/>
      <c r="P24" s="2"/>
      <c r="Q24" s="3"/>
      <c r="R24" s="3"/>
      <c r="S24" s="3"/>
    </row>
    <row r="25" spans="1:25" x14ac:dyDescent="0.3">
      <c r="N25" s="2"/>
      <c r="O25" s="2"/>
      <c r="P25" s="2"/>
      <c r="Q25" s="3"/>
      <c r="R25" s="3"/>
      <c r="S25" s="3"/>
    </row>
    <row r="26" spans="1:25" x14ac:dyDescent="0.3">
      <c r="N26" s="2"/>
      <c r="O26" s="2"/>
      <c r="P26" s="2"/>
      <c r="Q26" s="3"/>
      <c r="R26" s="3"/>
      <c r="S26" s="3"/>
    </row>
    <row r="27" spans="1:25" x14ac:dyDescent="0.3">
      <c r="N27" s="2"/>
      <c r="O27" s="2"/>
      <c r="P27" s="2"/>
      <c r="Q27" s="3"/>
      <c r="R27" s="3"/>
      <c r="S27" s="3"/>
    </row>
    <row r="28" spans="1:25" x14ac:dyDescent="0.3">
      <c r="N28" s="2"/>
      <c r="O28" s="2"/>
      <c r="P28" s="2"/>
      <c r="Q28" s="3"/>
      <c r="R28" s="3"/>
      <c r="S28" s="3"/>
    </row>
    <row r="29" spans="1:25" x14ac:dyDescent="0.3">
      <c r="N29" s="2"/>
      <c r="O29" s="2"/>
      <c r="P29" s="2"/>
      <c r="Q29" s="3"/>
      <c r="R29" s="3"/>
      <c r="S29" s="3"/>
    </row>
    <row r="30" spans="1:25" x14ac:dyDescent="0.3">
      <c r="N30" s="2"/>
      <c r="O30" s="2"/>
      <c r="P30" s="2"/>
      <c r="Q30" s="3"/>
      <c r="R30" s="3"/>
      <c r="S30" s="3"/>
    </row>
    <row r="31" spans="1:25" x14ac:dyDescent="0.3">
      <c r="N31" s="2"/>
      <c r="O31" s="2"/>
      <c r="P31" s="2"/>
      <c r="Q31" s="3"/>
      <c r="R31" s="3"/>
      <c r="S31" s="3"/>
    </row>
    <row r="32" spans="1:25" x14ac:dyDescent="0.3">
      <c r="N32" s="2"/>
      <c r="O32" s="2"/>
      <c r="P32" s="2"/>
      <c r="Q32" s="3"/>
      <c r="R32" s="3"/>
      <c r="S32" s="3"/>
    </row>
    <row r="33" spans="14:19" x14ac:dyDescent="0.3">
      <c r="N33" s="2"/>
      <c r="O33" s="2"/>
      <c r="P33" s="2"/>
      <c r="Q33" s="3"/>
      <c r="R33" s="3"/>
      <c r="S33" s="3"/>
    </row>
    <row r="34" spans="14:19" x14ac:dyDescent="0.3">
      <c r="N34" s="2"/>
      <c r="O34" s="2"/>
      <c r="P34" s="2"/>
      <c r="Q34" s="3"/>
      <c r="R34" s="3"/>
      <c r="S34" s="3"/>
    </row>
    <row r="35" spans="14:19" x14ac:dyDescent="0.3">
      <c r="N35" s="2"/>
      <c r="O35" s="2"/>
      <c r="P35" s="2"/>
      <c r="Q35" s="3"/>
      <c r="R35" s="3"/>
      <c r="S35" s="3"/>
    </row>
    <row r="36" spans="14:19" x14ac:dyDescent="0.3">
      <c r="N36" s="2"/>
      <c r="O36" s="2"/>
      <c r="P36" s="2"/>
      <c r="Q36" s="3"/>
      <c r="R36" s="3"/>
      <c r="S3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8994-C471-4C2E-8ADB-37065595FF13}">
  <dimension ref="A1:AE36"/>
  <sheetViews>
    <sheetView zoomScale="70" zoomScaleNormal="70" workbookViewId="0">
      <selection activeCell="O29" sqref="O29"/>
    </sheetView>
  </sheetViews>
  <sheetFormatPr defaultRowHeight="15.05" x14ac:dyDescent="0.3"/>
  <cols>
    <col min="6" max="6" width="10.77734375" bestFit="1" customWidth="1"/>
    <col min="7" max="7" width="10.77734375" customWidth="1"/>
  </cols>
  <sheetData>
    <row r="1" spans="1:31" x14ac:dyDescent="0.3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32</v>
      </c>
      <c r="H1" s="1" t="s">
        <v>5</v>
      </c>
      <c r="I1" s="1" t="s">
        <v>6</v>
      </c>
      <c r="J1" s="1" t="s">
        <v>7</v>
      </c>
      <c r="K1" s="1" t="s">
        <v>29</v>
      </c>
      <c r="L1" s="1" t="s">
        <v>30</v>
      </c>
      <c r="M1" s="1" t="s">
        <v>31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26</v>
      </c>
      <c r="AD1" s="1" t="s">
        <v>27</v>
      </c>
      <c r="AE1" s="1" t="s">
        <v>28</v>
      </c>
    </row>
    <row r="2" spans="1:31" x14ac:dyDescent="0.3">
      <c r="A2" t="s">
        <v>33</v>
      </c>
      <c r="B2">
        <v>2.0099999999999998</v>
      </c>
      <c r="C2">
        <f>B2-2</f>
        <v>9.9999999999997868E-3</v>
      </c>
      <c r="D2" t="s">
        <v>23</v>
      </c>
      <c r="E2" t="s">
        <v>25</v>
      </c>
      <c r="G2">
        <v>20</v>
      </c>
      <c r="H2">
        <f>G2*C2</f>
        <v>0.19999999999999574</v>
      </c>
      <c r="I2">
        <f>H2-C2*10</f>
        <v>9.9999999999997868E-2</v>
      </c>
      <c r="N2" s="2">
        <v>0.5</v>
      </c>
      <c r="O2" s="2"/>
      <c r="P2" s="2">
        <v>0.5</v>
      </c>
      <c r="Q2" s="3"/>
      <c r="R2" s="3"/>
      <c r="S2" s="3"/>
      <c r="Z2">
        <v>20</v>
      </c>
      <c r="AB2">
        <v>20</v>
      </c>
      <c r="AC2">
        <v>35</v>
      </c>
      <c r="AE2">
        <v>35</v>
      </c>
    </row>
    <row r="3" spans="1:31" x14ac:dyDescent="0.3">
      <c r="A3" t="s">
        <v>33</v>
      </c>
      <c r="B3">
        <v>2.5</v>
      </c>
      <c r="C3">
        <f t="shared" ref="C3:C17" si="0">B3-2</f>
        <v>0.5</v>
      </c>
      <c r="D3" t="s">
        <v>23</v>
      </c>
      <c r="E3" t="s">
        <v>25</v>
      </c>
      <c r="G3">
        <v>20</v>
      </c>
      <c r="H3">
        <f>H2+G3*(C3-C2)</f>
        <v>10</v>
      </c>
      <c r="I3">
        <f t="shared" ref="I3:I17" si="1">H3-C3*10</f>
        <v>5</v>
      </c>
      <c r="N3" s="2">
        <v>0.5</v>
      </c>
      <c r="O3" s="2"/>
      <c r="P3" s="2">
        <v>0.5</v>
      </c>
      <c r="Q3" s="3"/>
      <c r="R3" s="3"/>
      <c r="S3" s="3"/>
      <c r="Z3">
        <v>20</v>
      </c>
      <c r="AB3">
        <v>20</v>
      </c>
      <c r="AC3">
        <v>35</v>
      </c>
      <c r="AE3">
        <v>35</v>
      </c>
    </row>
    <row r="4" spans="1:31" x14ac:dyDescent="0.3">
      <c r="A4" t="s">
        <v>33</v>
      </c>
      <c r="B4">
        <v>2.5099999999999998</v>
      </c>
      <c r="C4">
        <f t="shared" si="0"/>
        <v>0.50999999999999979</v>
      </c>
      <c r="D4" t="s">
        <v>23</v>
      </c>
      <c r="E4" t="s">
        <v>24</v>
      </c>
      <c r="G4">
        <v>20</v>
      </c>
      <c r="H4">
        <f t="shared" ref="H4:H17" si="2">H3+G4*(C4-C3)</f>
        <v>10.199999999999996</v>
      </c>
      <c r="I4">
        <f t="shared" si="1"/>
        <v>5.0999999999999979</v>
      </c>
      <c r="N4" s="2"/>
      <c r="O4" s="2"/>
      <c r="P4" s="2"/>
      <c r="Q4" s="3"/>
      <c r="R4" s="3"/>
      <c r="S4" s="3"/>
      <c r="W4">
        <v>35</v>
      </c>
      <c r="Y4" s="3">
        <v>60</v>
      </c>
    </row>
    <row r="5" spans="1:31" x14ac:dyDescent="0.3">
      <c r="A5" t="s">
        <v>33</v>
      </c>
      <c r="B5">
        <v>5</v>
      </c>
      <c r="C5">
        <f t="shared" si="0"/>
        <v>3</v>
      </c>
      <c r="D5" t="s">
        <v>23</v>
      </c>
      <c r="E5" t="s">
        <v>24</v>
      </c>
      <c r="G5">
        <v>20</v>
      </c>
      <c r="H5">
        <f t="shared" si="2"/>
        <v>60</v>
      </c>
      <c r="I5">
        <f t="shared" si="1"/>
        <v>30</v>
      </c>
      <c r="N5" s="2"/>
      <c r="O5" s="2"/>
      <c r="P5" s="2"/>
      <c r="Q5" s="3"/>
      <c r="R5" s="3"/>
      <c r="S5" s="3"/>
      <c r="W5">
        <v>65</v>
      </c>
      <c r="Y5">
        <v>100</v>
      </c>
    </row>
    <row r="6" spans="1:31" x14ac:dyDescent="0.3">
      <c r="A6" t="s">
        <v>33</v>
      </c>
      <c r="B6">
        <v>5.01</v>
      </c>
      <c r="C6">
        <f t="shared" si="0"/>
        <v>3.01</v>
      </c>
      <c r="D6" t="s">
        <v>23</v>
      </c>
      <c r="E6" t="s">
        <v>24</v>
      </c>
      <c r="G6">
        <v>20</v>
      </c>
      <c r="H6">
        <f t="shared" si="2"/>
        <v>60.199999999999996</v>
      </c>
      <c r="I6">
        <f t="shared" si="1"/>
        <v>30.099999999999998</v>
      </c>
      <c r="N6" s="2"/>
      <c r="O6" s="2"/>
      <c r="P6" s="2"/>
      <c r="Q6" s="3"/>
      <c r="R6" s="3"/>
      <c r="S6" s="3"/>
      <c r="W6">
        <v>65</v>
      </c>
      <c r="Y6">
        <v>100</v>
      </c>
    </row>
    <row r="7" spans="1:31" x14ac:dyDescent="0.3">
      <c r="A7" t="s">
        <v>33</v>
      </c>
      <c r="B7">
        <v>8</v>
      </c>
      <c r="C7">
        <f t="shared" si="0"/>
        <v>6</v>
      </c>
      <c r="D7" t="s">
        <v>23</v>
      </c>
      <c r="E7" t="s">
        <v>24</v>
      </c>
      <c r="G7">
        <v>20</v>
      </c>
      <c r="H7">
        <f t="shared" si="2"/>
        <v>120</v>
      </c>
      <c r="I7">
        <f t="shared" si="1"/>
        <v>60</v>
      </c>
      <c r="N7" s="2"/>
      <c r="O7" s="2"/>
      <c r="P7" s="2"/>
      <c r="Q7" s="3"/>
      <c r="R7" s="3"/>
      <c r="S7" s="3"/>
      <c r="W7">
        <v>70</v>
      </c>
      <c r="Y7">
        <v>120</v>
      </c>
    </row>
    <row r="8" spans="1:31" x14ac:dyDescent="0.3">
      <c r="A8" t="s">
        <v>33</v>
      </c>
      <c r="B8">
        <v>8.01</v>
      </c>
      <c r="C8">
        <f t="shared" si="0"/>
        <v>6.01</v>
      </c>
      <c r="D8" t="s">
        <v>23</v>
      </c>
      <c r="E8" t="s">
        <v>25</v>
      </c>
      <c r="G8">
        <v>20</v>
      </c>
      <c r="H8">
        <f t="shared" si="2"/>
        <v>120.19999999999999</v>
      </c>
      <c r="I8">
        <f t="shared" si="1"/>
        <v>60.099999999999994</v>
      </c>
      <c r="N8" s="2">
        <v>2</v>
      </c>
      <c r="O8" s="2"/>
      <c r="P8" s="2">
        <v>40</v>
      </c>
      <c r="Q8" s="3"/>
      <c r="R8" s="3"/>
      <c r="S8" s="3"/>
      <c r="Z8">
        <v>100</v>
      </c>
      <c r="AB8">
        <v>100</v>
      </c>
      <c r="AC8">
        <v>35</v>
      </c>
      <c r="AE8">
        <v>35</v>
      </c>
    </row>
    <row r="9" spans="1:31" x14ac:dyDescent="0.3">
      <c r="A9" t="s">
        <v>33</v>
      </c>
      <c r="B9">
        <v>9.5</v>
      </c>
      <c r="C9">
        <f t="shared" si="0"/>
        <v>7.5</v>
      </c>
      <c r="D9" t="s">
        <v>23</v>
      </c>
      <c r="E9" t="s">
        <v>25</v>
      </c>
      <c r="G9">
        <v>20</v>
      </c>
      <c r="H9">
        <f t="shared" si="2"/>
        <v>150</v>
      </c>
      <c r="I9">
        <f t="shared" si="1"/>
        <v>75</v>
      </c>
      <c r="N9" s="2">
        <v>100</v>
      </c>
      <c r="O9" s="2"/>
      <c r="P9" s="2">
        <v>110</v>
      </c>
      <c r="Q9" s="3"/>
      <c r="R9" s="3"/>
      <c r="S9" s="2"/>
      <c r="Z9">
        <v>100</v>
      </c>
      <c r="AB9">
        <v>100</v>
      </c>
      <c r="AC9">
        <v>35</v>
      </c>
      <c r="AE9">
        <v>35</v>
      </c>
    </row>
    <row r="10" spans="1:31" x14ac:dyDescent="0.3">
      <c r="A10" t="s">
        <v>33</v>
      </c>
      <c r="B10">
        <v>9.51</v>
      </c>
      <c r="C10">
        <f t="shared" si="0"/>
        <v>7.51</v>
      </c>
      <c r="D10" t="s">
        <v>23</v>
      </c>
      <c r="E10" t="s">
        <v>25</v>
      </c>
      <c r="G10">
        <v>20</v>
      </c>
      <c r="H10">
        <f t="shared" si="2"/>
        <v>150.19999999999999</v>
      </c>
      <c r="I10">
        <f t="shared" si="1"/>
        <v>75.099999999999994</v>
      </c>
      <c r="N10" s="2">
        <v>100</v>
      </c>
      <c r="O10" s="2"/>
      <c r="P10" s="2">
        <v>110</v>
      </c>
      <c r="Q10" s="3"/>
      <c r="R10" s="3"/>
      <c r="S10" s="2"/>
      <c r="Z10">
        <v>100</v>
      </c>
      <c r="AB10">
        <v>100</v>
      </c>
      <c r="AC10">
        <v>35</v>
      </c>
      <c r="AE10">
        <v>35</v>
      </c>
    </row>
    <row r="11" spans="1:31" x14ac:dyDescent="0.3">
      <c r="A11" t="s">
        <v>33</v>
      </c>
      <c r="B11">
        <v>13</v>
      </c>
      <c r="C11">
        <f t="shared" si="0"/>
        <v>11</v>
      </c>
      <c r="D11" t="s">
        <v>23</v>
      </c>
      <c r="E11" t="s">
        <v>25</v>
      </c>
      <c r="G11">
        <v>20</v>
      </c>
      <c r="H11">
        <f t="shared" si="2"/>
        <v>220</v>
      </c>
      <c r="I11">
        <f t="shared" si="1"/>
        <v>110</v>
      </c>
      <c r="N11" s="2">
        <v>55</v>
      </c>
      <c r="O11" s="2"/>
      <c r="P11" s="2">
        <v>110</v>
      </c>
      <c r="Q11" s="3"/>
      <c r="R11" s="3"/>
      <c r="S11" s="3"/>
      <c r="Z11">
        <v>100</v>
      </c>
      <c r="AB11">
        <v>100</v>
      </c>
      <c r="AC11">
        <v>35</v>
      </c>
      <c r="AE11">
        <v>35</v>
      </c>
    </row>
    <row r="12" spans="1:31" x14ac:dyDescent="0.3">
      <c r="A12" t="s">
        <v>33</v>
      </c>
      <c r="B12">
        <v>13.01</v>
      </c>
      <c r="C12">
        <f t="shared" si="0"/>
        <v>11.01</v>
      </c>
      <c r="D12" t="s">
        <v>23</v>
      </c>
      <c r="E12" t="s">
        <v>24</v>
      </c>
      <c r="G12">
        <v>20</v>
      </c>
      <c r="H12">
        <f t="shared" si="2"/>
        <v>220.2</v>
      </c>
      <c r="I12">
        <f t="shared" si="1"/>
        <v>110.1</v>
      </c>
      <c r="N12" s="2"/>
      <c r="O12" s="2"/>
      <c r="P12" s="2"/>
      <c r="Q12" s="3"/>
      <c r="R12" s="3"/>
      <c r="S12" s="3"/>
      <c r="W12">
        <v>350</v>
      </c>
      <c r="Y12">
        <v>600</v>
      </c>
    </row>
    <row r="13" spans="1:31" x14ac:dyDescent="0.3">
      <c r="A13" t="s">
        <v>33</v>
      </c>
      <c r="B13">
        <v>20</v>
      </c>
      <c r="C13">
        <f t="shared" si="0"/>
        <v>18</v>
      </c>
      <c r="D13" t="s">
        <v>23</v>
      </c>
      <c r="E13" t="s">
        <v>24</v>
      </c>
      <c r="G13">
        <v>20</v>
      </c>
      <c r="H13">
        <f t="shared" si="2"/>
        <v>360</v>
      </c>
      <c r="I13">
        <f t="shared" si="1"/>
        <v>180</v>
      </c>
      <c r="N13" s="2"/>
      <c r="O13" s="2"/>
      <c r="P13" s="2"/>
      <c r="Q13" s="3"/>
      <c r="R13" s="3"/>
      <c r="S13" s="3"/>
      <c r="W13">
        <v>350</v>
      </c>
      <c r="Y13">
        <v>600</v>
      </c>
    </row>
    <row r="14" spans="1:31" x14ac:dyDescent="0.3">
      <c r="A14" t="s">
        <v>33</v>
      </c>
      <c r="B14">
        <v>20.010000000000002</v>
      </c>
      <c r="C14">
        <f t="shared" si="0"/>
        <v>18.010000000000002</v>
      </c>
      <c r="D14" t="s">
        <v>23</v>
      </c>
      <c r="E14" t="s">
        <v>24</v>
      </c>
      <c r="G14">
        <v>20</v>
      </c>
      <c r="H14">
        <f t="shared" si="2"/>
        <v>360.20000000000005</v>
      </c>
      <c r="I14">
        <f t="shared" si="1"/>
        <v>180.10000000000002</v>
      </c>
      <c r="N14" s="2"/>
      <c r="O14" s="2"/>
      <c r="P14" s="2"/>
      <c r="Q14" s="3"/>
      <c r="R14" s="3"/>
      <c r="S14" s="3"/>
      <c r="W14">
        <v>350</v>
      </c>
      <c r="Y14">
        <v>600</v>
      </c>
    </row>
    <row r="15" spans="1:31" x14ac:dyDescent="0.3">
      <c r="A15" t="s">
        <v>33</v>
      </c>
      <c r="B15">
        <v>25</v>
      </c>
      <c r="C15">
        <f t="shared" si="0"/>
        <v>23</v>
      </c>
      <c r="D15" t="s">
        <v>23</v>
      </c>
      <c r="E15" t="s">
        <v>24</v>
      </c>
      <c r="G15">
        <v>20</v>
      </c>
      <c r="H15">
        <f t="shared" si="2"/>
        <v>460</v>
      </c>
      <c r="I15">
        <f t="shared" si="1"/>
        <v>230</v>
      </c>
      <c r="N15" s="2"/>
      <c r="O15" s="2"/>
      <c r="P15" s="2"/>
      <c r="Q15" s="3"/>
      <c r="R15" s="3"/>
      <c r="S15" s="3"/>
      <c r="W15">
        <v>260</v>
      </c>
      <c r="Y15">
        <v>600</v>
      </c>
    </row>
    <row r="16" spans="1:31" x14ac:dyDescent="0.3">
      <c r="A16" t="s">
        <v>33</v>
      </c>
      <c r="B16">
        <v>25.01</v>
      </c>
      <c r="C16">
        <f t="shared" si="0"/>
        <v>23.01</v>
      </c>
      <c r="D16" t="s">
        <v>23</v>
      </c>
      <c r="E16" t="s">
        <v>24</v>
      </c>
      <c r="G16">
        <v>20</v>
      </c>
      <c r="H16">
        <f t="shared" si="2"/>
        <v>460.20000000000005</v>
      </c>
      <c r="I16">
        <f t="shared" si="1"/>
        <v>230.10000000000002</v>
      </c>
      <c r="N16" s="2"/>
      <c r="O16" s="2"/>
      <c r="P16" s="2"/>
      <c r="Q16" s="3"/>
      <c r="R16" s="3"/>
      <c r="S16" s="3"/>
      <c r="W16">
        <v>260</v>
      </c>
      <c r="Y16">
        <v>600</v>
      </c>
    </row>
    <row r="17" spans="1:25" x14ac:dyDescent="0.3">
      <c r="A17" t="s">
        <v>33</v>
      </c>
      <c r="B17">
        <v>39</v>
      </c>
      <c r="C17">
        <f t="shared" si="0"/>
        <v>37</v>
      </c>
      <c r="D17" t="s">
        <v>23</v>
      </c>
      <c r="E17" t="s">
        <v>24</v>
      </c>
      <c r="G17">
        <v>20</v>
      </c>
      <c r="H17">
        <f t="shared" si="2"/>
        <v>740</v>
      </c>
      <c r="I17">
        <f t="shared" si="1"/>
        <v>370</v>
      </c>
      <c r="N17" s="2"/>
      <c r="O17" s="2"/>
      <c r="P17" s="2"/>
      <c r="Q17" s="3"/>
      <c r="R17" s="3"/>
      <c r="S17" s="3"/>
      <c r="W17">
        <v>260</v>
      </c>
      <c r="Y17">
        <v>600</v>
      </c>
    </row>
    <row r="18" spans="1:25" x14ac:dyDescent="0.3">
      <c r="N18" s="2"/>
      <c r="O18" s="2"/>
      <c r="P18" s="2"/>
      <c r="Q18" s="3"/>
      <c r="R18" s="3"/>
      <c r="S18" s="3"/>
    </row>
    <row r="19" spans="1:25" x14ac:dyDescent="0.3">
      <c r="N19" s="2"/>
      <c r="O19" s="2"/>
      <c r="P19" s="2"/>
      <c r="Q19" s="3"/>
      <c r="R19" s="3"/>
      <c r="S19" s="3"/>
    </row>
    <row r="20" spans="1:25" x14ac:dyDescent="0.3">
      <c r="N20" s="2"/>
      <c r="O20" s="2"/>
      <c r="P20" s="2"/>
      <c r="Q20" s="3"/>
      <c r="R20" s="3"/>
      <c r="S20" s="3"/>
    </row>
    <row r="21" spans="1:25" x14ac:dyDescent="0.3">
      <c r="N21" s="2"/>
      <c r="O21" s="2"/>
      <c r="P21" s="2"/>
      <c r="Q21" s="3"/>
      <c r="R21" s="3"/>
      <c r="S21" s="3"/>
    </row>
    <row r="22" spans="1:25" x14ac:dyDescent="0.3">
      <c r="N22" s="2"/>
      <c r="O22" s="2"/>
      <c r="P22" s="2"/>
      <c r="Q22" s="3"/>
      <c r="R22" s="3"/>
      <c r="S22" s="3"/>
    </row>
    <row r="23" spans="1:25" x14ac:dyDescent="0.3">
      <c r="N23" s="2"/>
      <c r="O23" s="2"/>
      <c r="P23" s="2"/>
      <c r="Q23" s="3"/>
      <c r="R23" s="3"/>
      <c r="S23" s="3"/>
    </row>
    <row r="24" spans="1:25" x14ac:dyDescent="0.3">
      <c r="N24" s="2"/>
      <c r="O24" s="2"/>
      <c r="P24" s="2"/>
      <c r="Q24" s="3"/>
      <c r="R24" s="3"/>
      <c r="S24" s="3"/>
    </row>
    <row r="25" spans="1:25" x14ac:dyDescent="0.3">
      <c r="N25" s="2"/>
      <c r="O25" s="2"/>
      <c r="P25" s="2"/>
      <c r="Q25" s="3"/>
      <c r="R25" s="3"/>
      <c r="S25" s="3"/>
    </row>
    <row r="26" spans="1:25" x14ac:dyDescent="0.3">
      <c r="N26" s="2"/>
      <c r="O26" s="2"/>
      <c r="P26" s="2"/>
      <c r="Q26" s="3"/>
      <c r="R26" s="3"/>
      <c r="S26" s="3"/>
    </row>
    <row r="27" spans="1:25" x14ac:dyDescent="0.3">
      <c r="N27" s="2"/>
      <c r="O27" s="2"/>
      <c r="P27" s="2"/>
      <c r="Q27" s="3"/>
      <c r="R27" s="3"/>
      <c r="S27" s="3"/>
    </row>
    <row r="28" spans="1:25" x14ac:dyDescent="0.3">
      <c r="N28" s="2"/>
      <c r="O28" s="2"/>
      <c r="P28" s="2"/>
      <c r="Q28" s="3"/>
      <c r="R28" s="3"/>
      <c r="S28" s="3"/>
    </row>
    <row r="29" spans="1:25" x14ac:dyDescent="0.3">
      <c r="N29" s="2"/>
      <c r="O29" s="2"/>
      <c r="P29" s="2"/>
      <c r="Q29" s="3"/>
      <c r="R29" s="3"/>
      <c r="S29" s="3"/>
    </row>
    <row r="30" spans="1:25" x14ac:dyDescent="0.3">
      <c r="N30" s="2"/>
      <c r="O30" s="2"/>
      <c r="P30" s="2"/>
      <c r="Q30" s="3"/>
      <c r="R30" s="3"/>
      <c r="S30" s="3"/>
    </row>
    <row r="31" spans="1:25" x14ac:dyDescent="0.3">
      <c r="N31" s="2"/>
      <c r="O31" s="2"/>
      <c r="P31" s="2"/>
      <c r="Q31" s="3"/>
      <c r="R31" s="3"/>
      <c r="S31" s="3"/>
    </row>
    <row r="32" spans="1:25" x14ac:dyDescent="0.3">
      <c r="N32" s="2"/>
      <c r="O32" s="2"/>
      <c r="P32" s="2"/>
      <c r="Q32" s="3"/>
      <c r="R32" s="3"/>
      <c r="S32" s="3"/>
    </row>
    <row r="33" spans="14:19" x14ac:dyDescent="0.3">
      <c r="N33" s="2"/>
      <c r="O33" s="2"/>
      <c r="P33" s="2"/>
      <c r="Q33" s="3"/>
      <c r="R33" s="3"/>
      <c r="S33" s="3"/>
    </row>
    <row r="34" spans="14:19" x14ac:dyDescent="0.3">
      <c r="N34" s="2"/>
      <c r="O34" s="2"/>
      <c r="P34" s="2"/>
      <c r="Q34" s="3"/>
      <c r="R34" s="3"/>
      <c r="S34" s="3"/>
    </row>
    <row r="35" spans="14:19" x14ac:dyDescent="0.3">
      <c r="N35" s="2"/>
      <c r="O35" s="2"/>
      <c r="P35" s="2"/>
      <c r="Q35" s="3"/>
      <c r="R35" s="3"/>
      <c r="S35" s="3"/>
    </row>
    <row r="36" spans="14:19" x14ac:dyDescent="0.3">
      <c r="N36" s="2"/>
      <c r="O36" s="2"/>
      <c r="P36" s="2"/>
      <c r="Q36" s="3"/>
      <c r="R36" s="3"/>
      <c r="S3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BB20-4AF9-47E0-ACD1-32836352BD28}">
  <dimension ref="A1:AD38"/>
  <sheetViews>
    <sheetView zoomScale="70" zoomScaleNormal="70" workbookViewId="0">
      <selection activeCell="M64" sqref="M64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25</v>
      </c>
      <c r="AD2">
        <v>25</v>
      </c>
    </row>
    <row r="3" spans="1:30" x14ac:dyDescent="0.3">
      <c r="A3" t="s">
        <v>33</v>
      </c>
      <c r="B3">
        <v>30</v>
      </c>
      <c r="C3" t="s">
        <v>23</v>
      </c>
      <c r="D3" t="s">
        <v>25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AB3">
        <v>25</v>
      </c>
      <c r="AD3">
        <v>25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  <c r="X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809E-D4B6-4700-B508-C531B70858CC}">
  <dimension ref="A1:AD38"/>
  <sheetViews>
    <sheetView zoomScale="70" zoomScaleNormal="70" workbookViewId="0">
      <selection activeCell="AD4" sqref="AD4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30</v>
      </c>
      <c r="AD2">
        <v>30</v>
      </c>
    </row>
    <row r="3" spans="1:30" x14ac:dyDescent="0.3">
      <c r="A3" t="s">
        <v>33</v>
      </c>
      <c r="B3">
        <v>30</v>
      </c>
      <c r="C3" t="s">
        <v>23</v>
      </c>
      <c r="D3" t="s">
        <v>25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AB3">
        <v>30</v>
      </c>
      <c r="AD3">
        <v>30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  <c r="X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B8C0-C363-4178-81DD-AC19AEE753FC}">
  <dimension ref="A1:AD38"/>
  <sheetViews>
    <sheetView zoomScale="70" zoomScaleNormal="70" workbookViewId="0">
      <selection activeCell="A2" sqref="A2:XFD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35</v>
      </c>
      <c r="AD2">
        <v>35</v>
      </c>
    </row>
    <row r="3" spans="1:30" x14ac:dyDescent="0.3">
      <c r="A3" t="s">
        <v>33</v>
      </c>
      <c r="B3">
        <v>30</v>
      </c>
      <c r="C3" t="s">
        <v>23</v>
      </c>
      <c r="D3" t="s">
        <v>25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AB3">
        <v>35</v>
      </c>
      <c r="AD3">
        <v>35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  <c r="X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C01C-E0EA-43F8-9CCB-FFFA2267EAED}">
  <dimension ref="A1:AD38"/>
  <sheetViews>
    <sheetView zoomScale="70" zoomScaleNormal="70" workbookViewId="0">
      <selection activeCell="AD2" sqref="AD2:AD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40</v>
      </c>
      <c r="AD2">
        <v>40</v>
      </c>
    </row>
    <row r="3" spans="1:30" x14ac:dyDescent="0.3">
      <c r="A3" t="s">
        <v>33</v>
      </c>
      <c r="B3">
        <v>30</v>
      </c>
      <c r="C3" t="s">
        <v>23</v>
      </c>
      <c r="D3" t="s">
        <v>25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AB3">
        <v>40</v>
      </c>
      <c r="AD3">
        <v>40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  <c r="X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60CD-2AE8-4129-9C4F-F4A99453B0E8}">
  <dimension ref="A1:AD38"/>
  <sheetViews>
    <sheetView zoomScale="70" zoomScaleNormal="70" workbookViewId="0">
      <selection activeCell="AD2" sqref="AD2:AD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45</v>
      </c>
      <c r="AD2">
        <v>45</v>
      </c>
    </row>
    <row r="3" spans="1:30" x14ac:dyDescent="0.3">
      <c r="A3" t="s">
        <v>33</v>
      </c>
      <c r="B3">
        <v>30</v>
      </c>
      <c r="C3" t="s">
        <v>23</v>
      </c>
      <c r="D3" t="s">
        <v>25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AB3">
        <v>45</v>
      </c>
      <c r="AD3">
        <v>45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  <c r="X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BEA-D6F4-450C-9794-7FF7F247D089}">
  <dimension ref="A1:AD38"/>
  <sheetViews>
    <sheetView zoomScale="70" zoomScaleNormal="70" workbookViewId="0">
      <selection activeCell="X2" sqref="X2:X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25</v>
      </c>
      <c r="X2">
        <v>25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25</v>
      </c>
      <c r="X3">
        <v>25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9AFC-2E43-4B79-ABF1-B2D46501FBE5}">
  <dimension ref="A1:AD38"/>
  <sheetViews>
    <sheetView zoomScale="70" zoomScaleNormal="70" workbookViewId="0">
      <selection activeCell="X92" sqref="X92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50</v>
      </c>
      <c r="X2">
        <v>50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50</v>
      </c>
      <c r="X3">
        <v>50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3E38-833D-43DD-B320-8613FFC899A1}">
  <dimension ref="A1:AD38"/>
  <sheetViews>
    <sheetView zoomScale="70" zoomScaleNormal="70" workbookViewId="0">
      <selection activeCell="X2" sqref="X2:X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75</v>
      </c>
      <c r="X2">
        <v>75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75</v>
      </c>
      <c r="X3">
        <v>75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19AF-D160-471B-AC28-AF5F6F9969C0}">
  <dimension ref="A1:AD38"/>
  <sheetViews>
    <sheetView zoomScale="70" zoomScaleNormal="70" workbookViewId="0">
      <selection activeCell="X2" sqref="X2:X3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100</v>
      </c>
      <c r="X2">
        <v>100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100</v>
      </c>
      <c r="X3">
        <v>100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98F1-8F03-4F3B-A6EB-E235E53B68E4}">
  <dimension ref="A1:AD38"/>
  <sheetViews>
    <sheetView zoomScale="70" zoomScaleNormal="70" workbookViewId="0">
      <selection activeCell="Y7" sqref="Y7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150</v>
      </c>
      <c r="X2">
        <v>150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150</v>
      </c>
      <c r="X3">
        <v>150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A5B7-2769-4728-936F-061E50BDE6FB}">
  <dimension ref="A1:AD38"/>
  <sheetViews>
    <sheetView zoomScale="70" zoomScaleNormal="70" workbookViewId="0">
      <selection activeCell="W8" sqref="W8:W9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250</v>
      </c>
      <c r="X2">
        <v>250</v>
      </c>
    </row>
    <row r="3" spans="1:30" x14ac:dyDescent="0.3">
      <c r="A3" t="s">
        <v>33</v>
      </c>
      <c r="B3">
        <v>30</v>
      </c>
      <c r="C3" t="s">
        <v>23</v>
      </c>
      <c r="D3" t="s">
        <v>24</v>
      </c>
      <c r="F3">
        <v>20</v>
      </c>
      <c r="G3">
        <f>G2+F3*(B3-B2)</f>
        <v>600</v>
      </c>
      <c r="H3">
        <f>G3-10*B3</f>
        <v>300</v>
      </c>
      <c r="M3" s="2"/>
      <c r="N3" s="2"/>
      <c r="O3" s="2"/>
      <c r="P3" s="3"/>
      <c r="Q3" s="3"/>
      <c r="R3" s="3"/>
      <c r="V3">
        <v>250</v>
      </c>
      <c r="X3">
        <v>250</v>
      </c>
    </row>
    <row r="4" spans="1:30" x14ac:dyDescent="0.3">
      <c r="M4" s="2"/>
      <c r="N4" s="2"/>
      <c r="O4" s="2"/>
      <c r="P4" s="3"/>
      <c r="Q4" s="3"/>
      <c r="R4" s="3"/>
    </row>
    <row r="5" spans="1:30" x14ac:dyDescent="0.3">
      <c r="M5" s="2"/>
      <c r="N5" s="2"/>
      <c r="O5" s="2"/>
      <c r="P5" s="3"/>
      <c r="Q5" s="3"/>
      <c r="R5" s="3"/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2"/>
    </row>
    <row r="12" spans="1:30" x14ac:dyDescent="0.3">
      <c r="M12" s="2"/>
      <c r="N12" s="2"/>
      <c r="O12" s="2"/>
      <c r="P12" s="3"/>
      <c r="Q12" s="3"/>
      <c r="R12" s="2"/>
    </row>
    <row r="13" spans="1:30" x14ac:dyDescent="0.3">
      <c r="M13" s="2"/>
      <c r="N13" s="2"/>
      <c r="O13" s="2"/>
      <c r="P13" s="3"/>
      <c r="Q13" s="3"/>
      <c r="R13" s="3"/>
    </row>
    <row r="14" spans="1:30" x14ac:dyDescent="0.3">
      <c r="M14" s="2"/>
      <c r="N14" s="2"/>
      <c r="O14" s="2"/>
      <c r="P14" s="3"/>
      <c r="Q14" s="3"/>
      <c r="R14" s="3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66DE-4C7B-4F3E-AA78-811222686C31}">
  <dimension ref="A1:AD40"/>
  <sheetViews>
    <sheetView zoomScale="70" zoomScaleNormal="70" workbookViewId="0">
      <selection activeCell="G3" sqref="G3:G5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25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AB2">
        <v>35</v>
      </c>
      <c r="AD2">
        <v>35</v>
      </c>
    </row>
    <row r="3" spans="1:30" x14ac:dyDescent="0.3">
      <c r="A3" t="s">
        <v>33</v>
      </c>
      <c r="B3">
        <v>4</v>
      </c>
      <c r="C3" t="s">
        <v>23</v>
      </c>
      <c r="D3" t="s">
        <v>25</v>
      </c>
      <c r="F3">
        <v>20</v>
      </c>
      <c r="G3">
        <f>G2+F3*(B3-B2)</f>
        <v>80.000000000000014</v>
      </c>
      <c r="H3">
        <f>G3-10*B3</f>
        <v>40.000000000000014</v>
      </c>
      <c r="M3" s="2"/>
      <c r="N3" s="2"/>
      <c r="O3" s="2"/>
      <c r="P3" s="3"/>
      <c r="Q3" s="3"/>
      <c r="R3" s="3"/>
      <c r="AB3">
        <v>35</v>
      </c>
      <c r="AD3">
        <v>35</v>
      </c>
    </row>
    <row r="4" spans="1:30" x14ac:dyDescent="0.3">
      <c r="A4" t="s">
        <v>33</v>
      </c>
      <c r="B4">
        <v>4.01</v>
      </c>
      <c r="C4" t="s">
        <v>23</v>
      </c>
      <c r="D4" t="s">
        <v>24</v>
      </c>
      <c r="F4">
        <v>20</v>
      </c>
      <c r="G4">
        <f t="shared" ref="G4:G5" si="0">G3+F4*(B4-B3)</f>
        <v>80.200000000000017</v>
      </c>
      <c r="H4">
        <f>G4-10*B4</f>
        <v>40.100000000000023</v>
      </c>
      <c r="M4" s="2"/>
      <c r="N4" s="2"/>
      <c r="O4" s="2"/>
      <c r="P4" s="3"/>
      <c r="Q4" s="3"/>
      <c r="R4" s="3"/>
      <c r="V4">
        <v>75</v>
      </c>
      <c r="X4">
        <v>75</v>
      </c>
    </row>
    <row r="5" spans="1:30" x14ac:dyDescent="0.3">
      <c r="A5" t="s">
        <v>33</v>
      </c>
      <c r="B5">
        <v>30</v>
      </c>
      <c r="C5" t="s">
        <v>23</v>
      </c>
      <c r="D5" t="s">
        <v>24</v>
      </c>
      <c r="F5">
        <v>20</v>
      </c>
      <c r="G5">
        <f t="shared" si="0"/>
        <v>600.00000000000011</v>
      </c>
      <c r="H5">
        <f>G5-10*B5</f>
        <v>300.00000000000011</v>
      </c>
      <c r="M5" s="2"/>
      <c r="N5" s="2"/>
      <c r="O5" s="2"/>
      <c r="P5" s="3"/>
      <c r="Q5" s="3"/>
      <c r="R5" s="3"/>
      <c r="V5">
        <v>75</v>
      </c>
      <c r="X5">
        <v>75</v>
      </c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3"/>
    </row>
    <row r="12" spans="1:30" x14ac:dyDescent="0.3">
      <c r="M12" s="2"/>
      <c r="N12" s="2"/>
      <c r="O12" s="2"/>
      <c r="P12" s="3"/>
      <c r="Q12" s="3"/>
      <c r="R12" s="3"/>
    </row>
    <row r="13" spans="1:30" x14ac:dyDescent="0.3">
      <c r="M13" s="2"/>
      <c r="N13" s="2"/>
      <c r="O13" s="2"/>
      <c r="P13" s="3"/>
      <c r="Q13" s="3"/>
      <c r="R13" s="2"/>
    </row>
    <row r="14" spans="1:30" x14ac:dyDescent="0.3">
      <c r="M14" s="2"/>
      <c r="N14" s="2"/>
      <c r="O14" s="2"/>
      <c r="P14" s="3"/>
      <c r="Q14" s="3"/>
      <c r="R14" s="2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  <row r="39" spans="13:18" x14ac:dyDescent="0.3">
      <c r="M39" s="2"/>
      <c r="N39" s="2"/>
      <c r="O39" s="2"/>
      <c r="P39" s="3"/>
      <c r="Q39" s="3"/>
      <c r="R39" s="3"/>
    </row>
    <row r="40" spans="13:18" x14ac:dyDescent="0.3">
      <c r="M40" s="2"/>
      <c r="N40" s="2"/>
      <c r="O40" s="2"/>
      <c r="P40" s="3"/>
      <c r="Q40" s="3"/>
      <c r="R4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045C-5191-4475-8F33-CBE091C3D1B7}">
  <dimension ref="A1:AD40"/>
  <sheetViews>
    <sheetView zoomScale="70" zoomScaleNormal="70" workbookViewId="0">
      <selection activeCell="H10" sqref="H10"/>
    </sheetView>
  </sheetViews>
  <sheetFormatPr defaultRowHeight="15.05" x14ac:dyDescent="0.3"/>
  <cols>
    <col min="5" max="5" width="10.77734375" bestFit="1" customWidth="1"/>
    <col min="6" max="6" width="10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29</v>
      </c>
      <c r="K1" s="1" t="s">
        <v>30</v>
      </c>
      <c r="L1" s="1" t="s">
        <v>31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 x14ac:dyDescent="0.3">
      <c r="A2" t="s">
        <v>33</v>
      </c>
      <c r="B2">
        <v>0.01</v>
      </c>
      <c r="C2" t="s">
        <v>23</v>
      </c>
      <c r="D2" t="s">
        <v>24</v>
      </c>
      <c r="F2">
        <v>20</v>
      </c>
      <c r="G2">
        <f>F2*B2</f>
        <v>0.2</v>
      </c>
      <c r="H2">
        <f>G2-10*B2</f>
        <v>0.1</v>
      </c>
      <c r="M2" s="2"/>
      <c r="N2" s="2"/>
      <c r="O2" s="2"/>
      <c r="P2" s="3"/>
      <c r="Q2" s="3"/>
      <c r="R2" s="3"/>
      <c r="V2">
        <v>75</v>
      </c>
      <c r="X2">
        <v>75</v>
      </c>
    </row>
    <row r="3" spans="1:30" x14ac:dyDescent="0.3">
      <c r="A3" t="s">
        <v>33</v>
      </c>
      <c r="B3">
        <v>4</v>
      </c>
      <c r="C3" t="s">
        <v>23</v>
      </c>
      <c r="D3" t="s">
        <v>24</v>
      </c>
      <c r="F3">
        <v>20</v>
      </c>
      <c r="G3">
        <f>G2+F3*(B3-B2)</f>
        <v>80.000000000000014</v>
      </c>
      <c r="H3">
        <f>G3-10*B3</f>
        <v>40.000000000000014</v>
      </c>
      <c r="M3" s="2"/>
      <c r="N3" s="2"/>
      <c r="O3" s="2"/>
      <c r="P3" s="3"/>
      <c r="Q3" s="3"/>
      <c r="R3" s="3"/>
      <c r="V3">
        <v>75</v>
      </c>
      <c r="X3">
        <v>75</v>
      </c>
    </row>
    <row r="4" spans="1:30" x14ac:dyDescent="0.3">
      <c r="A4" t="s">
        <v>33</v>
      </c>
      <c r="B4">
        <v>4.01</v>
      </c>
      <c r="C4" t="s">
        <v>23</v>
      </c>
      <c r="D4" t="s">
        <v>25</v>
      </c>
      <c r="F4">
        <v>20</v>
      </c>
      <c r="G4">
        <f t="shared" ref="G4:G5" si="0">G3+F4*(B4-B3)</f>
        <v>80.200000000000017</v>
      </c>
      <c r="H4">
        <f>G4-10*B4</f>
        <v>40.100000000000023</v>
      </c>
      <c r="M4" s="2"/>
      <c r="N4" s="2"/>
      <c r="O4" s="2"/>
      <c r="P4" s="3"/>
      <c r="Q4" s="3"/>
      <c r="R4" s="3"/>
      <c r="AB4">
        <v>35</v>
      </c>
      <c r="AD4">
        <v>35</v>
      </c>
    </row>
    <row r="5" spans="1:30" x14ac:dyDescent="0.3">
      <c r="A5" t="s">
        <v>33</v>
      </c>
      <c r="B5">
        <v>30</v>
      </c>
      <c r="C5" t="s">
        <v>23</v>
      </c>
      <c r="D5" t="s">
        <v>25</v>
      </c>
      <c r="F5">
        <v>20</v>
      </c>
      <c r="G5">
        <f t="shared" si="0"/>
        <v>600.00000000000011</v>
      </c>
      <c r="H5">
        <f>G5-10*B5</f>
        <v>300.00000000000011</v>
      </c>
      <c r="M5" s="2"/>
      <c r="N5" s="2"/>
      <c r="O5" s="2"/>
      <c r="P5" s="3"/>
      <c r="Q5" s="3"/>
      <c r="R5" s="3"/>
      <c r="AB5">
        <v>35</v>
      </c>
      <c r="AD5">
        <v>35</v>
      </c>
    </row>
    <row r="6" spans="1:30" x14ac:dyDescent="0.3">
      <c r="M6" s="2"/>
      <c r="N6" s="2"/>
      <c r="O6" s="2"/>
      <c r="P6" s="3"/>
      <c r="Q6" s="3"/>
      <c r="R6" s="3"/>
    </row>
    <row r="7" spans="1:30" x14ac:dyDescent="0.3">
      <c r="M7" s="2"/>
      <c r="N7" s="2"/>
      <c r="O7" s="2"/>
      <c r="P7" s="3"/>
      <c r="Q7" s="3"/>
      <c r="R7" s="3"/>
    </row>
    <row r="8" spans="1:30" x14ac:dyDescent="0.3">
      <c r="M8" s="2"/>
      <c r="N8" s="2"/>
      <c r="O8" s="2"/>
      <c r="P8" s="3"/>
      <c r="Q8" s="3"/>
      <c r="R8" s="3"/>
    </row>
    <row r="9" spans="1:30" x14ac:dyDescent="0.3">
      <c r="M9" s="2"/>
      <c r="N9" s="2"/>
      <c r="O9" s="2"/>
      <c r="P9" s="3"/>
      <c r="Q9" s="3"/>
      <c r="R9" s="3"/>
    </row>
    <row r="10" spans="1:30" x14ac:dyDescent="0.3">
      <c r="M10" s="2"/>
      <c r="N10" s="2"/>
      <c r="O10" s="2"/>
      <c r="P10" s="3"/>
      <c r="Q10" s="3"/>
      <c r="R10" s="3"/>
    </row>
    <row r="11" spans="1:30" x14ac:dyDescent="0.3">
      <c r="M11" s="2"/>
      <c r="N11" s="2"/>
      <c r="O11" s="2"/>
      <c r="P11" s="3"/>
      <c r="Q11" s="3"/>
      <c r="R11" s="3"/>
    </row>
    <row r="12" spans="1:30" x14ac:dyDescent="0.3">
      <c r="M12" s="2"/>
      <c r="N12" s="2"/>
      <c r="O12" s="2"/>
      <c r="P12" s="3"/>
      <c r="Q12" s="3"/>
      <c r="R12" s="3"/>
    </row>
    <row r="13" spans="1:30" x14ac:dyDescent="0.3">
      <c r="M13" s="2"/>
      <c r="N13" s="2"/>
      <c r="O13" s="2"/>
      <c r="P13" s="3"/>
      <c r="Q13" s="3"/>
      <c r="R13" s="2"/>
    </row>
    <row r="14" spans="1:30" x14ac:dyDescent="0.3">
      <c r="M14" s="2"/>
      <c r="N14" s="2"/>
      <c r="O14" s="2"/>
      <c r="P14" s="3"/>
      <c r="Q14" s="3"/>
      <c r="R14" s="2"/>
    </row>
    <row r="15" spans="1:30" x14ac:dyDescent="0.3">
      <c r="M15" s="2"/>
      <c r="N15" s="2"/>
      <c r="O15" s="2"/>
      <c r="P15" s="3"/>
      <c r="Q15" s="3"/>
      <c r="R15" s="3"/>
    </row>
    <row r="16" spans="1:30" x14ac:dyDescent="0.3">
      <c r="M16" s="2"/>
      <c r="N16" s="2"/>
      <c r="O16" s="2"/>
      <c r="P16" s="3"/>
      <c r="Q16" s="3"/>
      <c r="R16" s="3"/>
    </row>
    <row r="17" spans="13:18" x14ac:dyDescent="0.3">
      <c r="M17" s="2"/>
      <c r="N17" s="2"/>
      <c r="O17" s="2"/>
      <c r="P17" s="3"/>
      <c r="Q17" s="3"/>
      <c r="R17" s="3"/>
    </row>
    <row r="18" spans="13:18" x14ac:dyDescent="0.3">
      <c r="M18" s="2"/>
      <c r="N18" s="2"/>
      <c r="O18" s="2"/>
      <c r="P18" s="3"/>
      <c r="Q18" s="3"/>
      <c r="R18" s="3"/>
    </row>
    <row r="19" spans="13:18" x14ac:dyDescent="0.3">
      <c r="M19" s="2"/>
      <c r="N19" s="2"/>
      <c r="O19" s="2"/>
      <c r="P19" s="3"/>
      <c r="Q19" s="3"/>
      <c r="R19" s="3"/>
    </row>
    <row r="20" spans="13:18" x14ac:dyDescent="0.3">
      <c r="M20" s="2"/>
      <c r="N20" s="2"/>
      <c r="O20" s="2"/>
      <c r="P20" s="3"/>
      <c r="Q20" s="3"/>
      <c r="R20" s="3"/>
    </row>
    <row r="21" spans="13:18" x14ac:dyDescent="0.3">
      <c r="M21" s="2"/>
      <c r="N21" s="2"/>
      <c r="O21" s="2"/>
      <c r="P21" s="3"/>
      <c r="Q21" s="3"/>
      <c r="R21" s="3"/>
    </row>
    <row r="22" spans="13:18" x14ac:dyDescent="0.3">
      <c r="M22" s="2"/>
      <c r="N22" s="2"/>
      <c r="O22" s="2"/>
      <c r="P22" s="3"/>
      <c r="Q22" s="3"/>
      <c r="R22" s="3"/>
    </row>
    <row r="23" spans="13:18" x14ac:dyDescent="0.3">
      <c r="M23" s="2"/>
      <c r="N23" s="2"/>
      <c r="O23" s="2"/>
      <c r="P23" s="3"/>
      <c r="Q23" s="3"/>
      <c r="R23" s="3"/>
    </row>
    <row r="24" spans="13:18" x14ac:dyDescent="0.3">
      <c r="M24" s="2"/>
      <c r="N24" s="2"/>
      <c r="O24" s="2"/>
      <c r="P24" s="3"/>
      <c r="Q24" s="3"/>
      <c r="R24" s="3"/>
    </row>
    <row r="25" spans="13:18" x14ac:dyDescent="0.3">
      <c r="M25" s="2"/>
      <c r="N25" s="2"/>
      <c r="O25" s="2"/>
      <c r="P25" s="3"/>
      <c r="Q25" s="3"/>
      <c r="R25" s="3"/>
    </row>
    <row r="26" spans="13:18" x14ac:dyDescent="0.3">
      <c r="M26" s="2"/>
      <c r="N26" s="2"/>
      <c r="O26" s="2"/>
      <c r="P26" s="3"/>
      <c r="Q26" s="3"/>
      <c r="R26" s="3"/>
    </row>
    <row r="27" spans="13:18" x14ac:dyDescent="0.3">
      <c r="M27" s="2"/>
      <c r="N27" s="2"/>
      <c r="O27" s="2"/>
      <c r="P27" s="3"/>
      <c r="Q27" s="3"/>
      <c r="R27" s="3"/>
    </row>
    <row r="28" spans="13:18" x14ac:dyDescent="0.3">
      <c r="M28" s="2"/>
      <c r="N28" s="2"/>
      <c r="O28" s="2"/>
      <c r="P28" s="3"/>
      <c r="Q28" s="3"/>
      <c r="R28" s="3"/>
    </row>
    <row r="29" spans="13:18" x14ac:dyDescent="0.3">
      <c r="M29" s="2"/>
      <c r="N29" s="2"/>
      <c r="O29" s="2"/>
      <c r="P29" s="3"/>
      <c r="Q29" s="3"/>
      <c r="R29" s="3"/>
    </row>
    <row r="30" spans="13:18" x14ac:dyDescent="0.3">
      <c r="M30" s="2"/>
      <c r="N30" s="2"/>
      <c r="O30" s="2"/>
      <c r="P30" s="3"/>
      <c r="Q30" s="3"/>
      <c r="R30" s="3"/>
    </row>
    <row r="31" spans="13:18" x14ac:dyDescent="0.3">
      <c r="M31" s="2"/>
      <c r="N31" s="2"/>
      <c r="O31" s="2"/>
      <c r="P31" s="3"/>
      <c r="Q31" s="3"/>
      <c r="R31" s="3"/>
    </row>
    <row r="32" spans="13:18" x14ac:dyDescent="0.3">
      <c r="M32" s="2"/>
      <c r="N32" s="2"/>
      <c r="O32" s="2"/>
      <c r="P32" s="3"/>
      <c r="Q32" s="3"/>
      <c r="R32" s="3"/>
    </row>
    <row r="33" spans="13:18" x14ac:dyDescent="0.3">
      <c r="M33" s="2"/>
      <c r="N33" s="2"/>
      <c r="O33" s="2"/>
      <c r="P33" s="3"/>
      <c r="Q33" s="3"/>
      <c r="R33" s="3"/>
    </row>
    <row r="34" spans="13:18" x14ac:dyDescent="0.3">
      <c r="M34" s="2"/>
      <c r="N34" s="2"/>
      <c r="O34" s="2"/>
      <c r="P34" s="3"/>
      <c r="Q34" s="3"/>
      <c r="R34" s="3"/>
    </row>
    <row r="35" spans="13:18" x14ac:dyDescent="0.3">
      <c r="M35" s="2"/>
      <c r="N35" s="2"/>
      <c r="O35" s="2"/>
      <c r="P35" s="3"/>
      <c r="Q35" s="3"/>
      <c r="R35" s="3"/>
    </row>
    <row r="36" spans="13:18" x14ac:dyDescent="0.3">
      <c r="M36" s="2"/>
      <c r="N36" s="2"/>
      <c r="O36" s="2"/>
      <c r="P36" s="3"/>
      <c r="Q36" s="3"/>
      <c r="R36" s="3"/>
    </row>
    <row r="37" spans="13:18" x14ac:dyDescent="0.3">
      <c r="M37" s="2"/>
      <c r="N37" s="2"/>
      <c r="O37" s="2"/>
      <c r="P37" s="3"/>
      <c r="Q37" s="3"/>
      <c r="R37" s="3"/>
    </row>
    <row r="38" spans="13:18" x14ac:dyDescent="0.3">
      <c r="M38" s="2"/>
      <c r="N38" s="2"/>
      <c r="O38" s="2"/>
      <c r="P38" s="3"/>
      <c r="Q38" s="3"/>
      <c r="R38" s="3"/>
    </row>
    <row r="39" spans="13:18" x14ac:dyDescent="0.3">
      <c r="M39" s="2"/>
      <c r="N39" s="2"/>
      <c r="O39" s="2"/>
      <c r="P39" s="3"/>
      <c r="Q39" s="3"/>
      <c r="R39" s="3"/>
    </row>
    <row r="40" spans="13:18" x14ac:dyDescent="0.3">
      <c r="M40" s="2"/>
      <c r="N40" s="2"/>
      <c r="O40" s="2"/>
      <c r="P40" s="3"/>
      <c r="Q40" s="3"/>
      <c r="R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eirin_lateral</vt:lpstr>
      <vt:lpstr>eirin_lateral_red</vt:lpstr>
      <vt:lpstr>eirin_lateral_scour</vt:lpstr>
      <vt:lpstr>eirin_lateral_red_scour</vt:lpstr>
      <vt:lpstr>pure_sand_25</vt:lpstr>
      <vt:lpstr>pure_sand_30</vt:lpstr>
      <vt:lpstr>pure_sand_35</vt:lpstr>
      <vt:lpstr>pure_sand_40</vt:lpstr>
      <vt:lpstr>pure_sand_45</vt:lpstr>
      <vt:lpstr>pure_clay_25</vt:lpstr>
      <vt:lpstr>pure_clay_50</vt:lpstr>
      <vt:lpstr>pure_clay_75</vt:lpstr>
      <vt:lpstr>pure_clay_100</vt:lpstr>
      <vt:lpstr>pure_clay_150</vt:lpstr>
      <vt:lpstr>pure_clay_250</vt:lpstr>
      <vt:lpstr>sand_over_clay</vt:lpstr>
      <vt:lpstr>clay_over_sand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Bayton, Steven</cp:lastModifiedBy>
  <dcterms:created xsi:type="dcterms:W3CDTF">2025-09-23T11:18:13Z</dcterms:created>
  <dcterms:modified xsi:type="dcterms:W3CDTF">2025-10-10T14:45:57Z</dcterms:modified>
</cp:coreProperties>
</file>